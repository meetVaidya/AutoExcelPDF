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6862CC92-AF95-49FE-8EB6-0078173AB0CB}" xr6:coauthVersionLast="47" xr6:coauthVersionMax="47" xr10:uidLastSave="{00000000-0000-0000-0000-000000000000}"/>
  <bookViews>
    <workbookView xWindow="768" yWindow="768" windowWidth="17280" windowHeight="9960" tabRatio="500" activeTab="1" xr2:uid="{00000000-000D-0000-FFFF-FFFF00000000}"/>
  </bookViews>
  <sheets>
    <sheet name="HKV" sheetId="1" r:id="rId1"/>
    <sheet name="YJV" sheetId="2" r:id="rId2"/>
    <sheet name="JRV (2)" sheetId="3" r:id="rId3"/>
    <sheet name="JRV" sheetId="4" r:id="rId4"/>
    <sheet name="Bills List" sheetId="5" r:id="rId5"/>
    <sheet name="Pivot Table_Bills List_1" sheetId="6" r:id="rId6"/>
    <sheet name="Grrowwide" sheetId="7" r:id="rId7"/>
    <sheet name="CASBY" sheetId="8" r:id="rId8"/>
  </sheets>
  <functionGroups builtInGroupCount="19"/>
  <definedNames>
    <definedName name="_xlnm._FilterDatabase" localSheetId="4" hidden="1">'Bills List'!$A$1:$J$1858</definedName>
    <definedName name="_xlnm.Print_Area" localSheetId="3">JRV!$A$1:$H$45</definedName>
    <definedName name="_xlnm.Print_Area" localSheetId="2">'JRV (2)'!$A$1:$H$43</definedName>
    <definedName name="_xlnm.Print_Area" localSheetId="1">YJV!$A$1:$H$43</definedName>
    <definedName name="valuevx">42.314159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42" i="7" l="1"/>
  <c r="E1851" i="5" l="1"/>
  <c r="E1828" i="5" l="1"/>
  <c r="C157" i="7"/>
  <c r="C156" i="7"/>
  <c r="C155" i="7"/>
  <c r="C154" i="7"/>
  <c r="C153" i="7"/>
  <c r="C152" i="7"/>
  <c r="C148" i="7"/>
  <c r="C147" i="7"/>
  <c r="C146" i="7"/>
  <c r="C145" i="7"/>
  <c r="C144" i="7"/>
  <c r="C158" i="7" l="1"/>
  <c r="C149" i="7"/>
  <c r="C159" i="7" s="1"/>
  <c r="F24" i="1"/>
  <c r="E1812" i="5"/>
  <c r="E1810" i="5" l="1"/>
  <c r="E1808" i="5"/>
  <c r="E1806" i="5"/>
  <c r="E1779" i="5" l="1"/>
  <c r="E1769" i="5" l="1"/>
  <c r="E1741" i="5" l="1"/>
  <c r="C135" i="7" l="1"/>
  <c r="C124" i="7"/>
  <c r="C127" i="7"/>
  <c r="C126" i="7"/>
  <c r="C125" i="7"/>
  <c r="C123" i="7"/>
  <c r="C136" i="7"/>
  <c r="C134" i="7"/>
  <c r="C133" i="7"/>
  <c r="C132" i="7"/>
  <c r="C131" i="7"/>
  <c r="C122" i="7"/>
  <c r="C121" i="7"/>
  <c r="E1728" i="5"/>
  <c r="E1723" i="5"/>
  <c r="C128" i="7" l="1"/>
  <c r="C137" i="7"/>
  <c r="C138" i="7" s="1"/>
  <c r="E1671" i="5"/>
  <c r="B1628" i="5" l="1"/>
  <c r="E1607" i="5" l="1"/>
  <c r="E1604" i="5" l="1"/>
  <c r="E1576" i="5" l="1"/>
  <c r="C115" i="7" l="1"/>
  <c r="C114" i="7"/>
  <c r="C113" i="7"/>
  <c r="C112" i="7"/>
  <c r="C111" i="7"/>
  <c r="C110" i="7"/>
  <c r="C105" i="7"/>
  <c r="C104" i="7"/>
  <c r="C103" i="7"/>
  <c r="C102" i="7"/>
  <c r="C101" i="7"/>
  <c r="C100" i="7"/>
  <c r="C107" i="7" s="1"/>
  <c r="E1599" i="5"/>
  <c r="C116" i="7" l="1"/>
  <c r="C117" i="7" s="1"/>
  <c r="E1558" i="5"/>
  <c r="C95" i="7"/>
  <c r="E1521" i="5" l="1"/>
  <c r="C83" i="7" l="1"/>
  <c r="E1520" i="5"/>
  <c r="E1518" i="5" l="1"/>
  <c r="C74" i="7" l="1"/>
  <c r="C92" i="7" l="1"/>
  <c r="C91" i="7"/>
  <c r="C90" i="7"/>
  <c r="C89" i="7"/>
  <c r="C87" i="7"/>
  <c r="C78" i="7"/>
  <c r="C77" i="7"/>
  <c r="C76" i="7"/>
  <c r="C75" i="7"/>
  <c r="C73" i="7"/>
  <c r="E1481" i="5"/>
  <c r="E1476" i="5"/>
  <c r="C79" i="7" l="1"/>
  <c r="C93" i="7"/>
  <c r="E1438" i="5"/>
  <c r="E1437" i="5"/>
  <c r="C96" i="7" l="1"/>
  <c r="E1435" i="5"/>
  <c r="C66" i="7" l="1"/>
  <c r="E1337" i="5" l="1"/>
  <c r="C64" i="7" l="1"/>
  <c r="C63" i="7"/>
  <c r="C62" i="7"/>
  <c r="C60" i="7"/>
  <c r="C55" i="7"/>
  <c r="C54" i="7"/>
  <c r="C53" i="7"/>
  <c r="C52" i="7"/>
  <c r="C51" i="7"/>
  <c r="C50" i="7"/>
  <c r="E1330" i="5"/>
  <c r="E1329" i="5"/>
  <c r="E1324" i="5"/>
  <c r="C67" i="7" l="1"/>
  <c r="C56" i="7"/>
  <c r="E1320" i="5"/>
  <c r="C69" i="7" l="1"/>
  <c r="E1285" i="5"/>
  <c r="E1279" i="5" l="1"/>
  <c r="E1280" i="5"/>
  <c r="E1277" i="5"/>
  <c r="E1276" i="5"/>
  <c r="E1278" i="5"/>
  <c r="C43" i="7"/>
  <c r="C42" i="7"/>
  <c r="C41" i="7"/>
  <c r="C40" i="7"/>
  <c r="C39" i="7"/>
  <c r="C34" i="7"/>
  <c r="C33" i="7"/>
  <c r="C32" i="7"/>
  <c r="C31" i="7"/>
  <c r="C30" i="7"/>
  <c r="C29" i="7"/>
  <c r="C23" i="7"/>
  <c r="C14" i="7"/>
  <c r="C9" i="7"/>
  <c r="E1243" i="5"/>
  <c r="E1203" i="5"/>
  <c r="E1200" i="5"/>
  <c r="E1199" i="5"/>
  <c r="E1197" i="5"/>
  <c r="E1196" i="5"/>
  <c r="E1164" i="5"/>
  <c r="E1130" i="5"/>
  <c r="E1113" i="5"/>
  <c r="E1097" i="5"/>
  <c r="E1096" i="5"/>
  <c r="E1087" i="5"/>
  <c r="E1084" i="5"/>
  <c r="E1083" i="5"/>
  <c r="E1049" i="5"/>
  <c r="E1014" i="5"/>
  <c r="E1010" i="5"/>
  <c r="E1009" i="5"/>
  <c r="E1007" i="5"/>
  <c r="E1006" i="5"/>
  <c r="E1002" i="5"/>
  <c r="E1001" i="5"/>
  <c r="E1000" i="5"/>
  <c r="E999" i="5"/>
  <c r="E998" i="5"/>
  <c r="E969" i="5"/>
  <c r="E965" i="5"/>
  <c r="E964" i="5"/>
  <c r="E906" i="5"/>
  <c r="E901" i="5"/>
  <c r="E900" i="5"/>
  <c r="E899" i="5"/>
  <c r="E898" i="5"/>
  <c r="E876" i="5"/>
  <c r="E861" i="5"/>
  <c r="E859" i="5"/>
  <c r="E858" i="5"/>
  <c r="E857" i="5"/>
  <c r="E856" i="5"/>
  <c r="E820" i="5"/>
  <c r="E788" i="5"/>
  <c r="E787" i="5"/>
  <c r="E786" i="5"/>
  <c r="E785" i="5"/>
  <c r="E784" i="5"/>
  <c r="E748" i="5"/>
  <c r="E746" i="5"/>
  <c r="E745" i="5"/>
  <c r="E744" i="5"/>
  <c r="E713" i="5"/>
  <c r="E678" i="5"/>
  <c r="E651" i="5"/>
  <c r="E650" i="5"/>
  <c r="E648" i="5"/>
  <c r="E637" i="5"/>
  <c r="E575" i="5"/>
  <c r="E569" i="5"/>
  <c r="E568" i="5"/>
  <c r="E566" i="5"/>
  <c r="E510" i="5"/>
  <c r="E495" i="5"/>
  <c r="E484" i="5"/>
  <c r="E445" i="5"/>
  <c r="E439" i="5"/>
  <c r="E434" i="5"/>
  <c r="E427" i="5"/>
  <c r="E416" i="5"/>
  <c r="E410" i="5"/>
  <c r="E381" i="5"/>
  <c r="E337" i="5"/>
  <c r="E319" i="5"/>
  <c r="E313" i="5"/>
  <c r="E295" i="5"/>
  <c r="E294" i="5"/>
  <c r="E293" i="5"/>
  <c r="E290" i="5"/>
  <c r="E244" i="5"/>
  <c r="E227" i="5"/>
  <c r="E204" i="5"/>
  <c r="B196" i="5"/>
  <c r="C22" i="3" s="1"/>
  <c r="E195" i="5"/>
  <c r="E194" i="5"/>
  <c r="E136" i="5"/>
  <c r="E127" i="5"/>
  <c r="E13" i="5"/>
  <c r="H18" i="1" l="1"/>
  <c r="H33" i="1" s="1"/>
  <c r="A17" i="3"/>
  <c r="H21" i="4"/>
  <c r="H36" i="4" s="1"/>
  <c r="H11" i="2"/>
  <c r="C22" i="2"/>
  <c r="A10" i="4"/>
  <c r="H5" i="1"/>
  <c r="H22" i="2"/>
  <c r="H32" i="2" s="1"/>
  <c r="A11" i="4"/>
  <c r="C44" i="7"/>
  <c r="A10" i="1"/>
  <c r="A16" i="2"/>
  <c r="H11" i="3"/>
  <c r="H22" i="3"/>
  <c r="H32" i="3" s="1"/>
  <c r="C21" i="4"/>
  <c r="C18" i="1"/>
  <c r="A17" i="2"/>
  <c r="A16" i="3"/>
  <c r="H5" i="4"/>
  <c r="C25" i="7"/>
  <c r="C35" i="7"/>
  <c r="A37" i="4"/>
  <c r="A33" i="3"/>
  <c r="A34" i="1"/>
  <c r="A33" i="2"/>
  <c r="C46" i="7" l="1"/>
</calcChain>
</file>

<file path=xl/sharedStrings.xml><?xml version="1.0" encoding="utf-8"?>
<sst xmlns="http://schemas.openxmlformats.org/spreadsheetml/2006/main" count="8315" uniqueCount="472">
  <si>
    <t>HEMANT KISHOR VAIDYA</t>
  </si>
  <si>
    <t>INVOICE</t>
  </si>
  <si>
    <t>C/101, Devchhaya Apt., Dahisar (East)</t>
  </si>
  <si>
    <t>Mumbai - 400068</t>
  </si>
  <si>
    <t>Phone: 9702478958</t>
  </si>
  <si>
    <t>INVOICE #</t>
  </si>
  <si>
    <t>DATE</t>
  </si>
  <si>
    <t>BILL TO</t>
  </si>
  <si>
    <t>Mumbai</t>
  </si>
  <si>
    <t>DESCRIPTION</t>
  </si>
  <si>
    <t>AMOUNT</t>
  </si>
  <si>
    <t>*Charges For Maintenance and Professional Advice OF P.F., ESIC, P. Tax &amp; Others</t>
  </si>
  <si>
    <t xml:space="preserve">For The Month of </t>
  </si>
  <si>
    <t>Thank you for your business!</t>
  </si>
  <si>
    <t>TOTAL</t>
  </si>
  <si>
    <t>E. &amp; O.E.</t>
  </si>
  <si>
    <t>Bank Details For Online Payment</t>
  </si>
  <si>
    <t>Beneficiary Name : HEMANT KISHOR VAIDYA</t>
  </si>
  <si>
    <t>Bank Name : Bank Of Baroda (Dahisar West Branch)</t>
  </si>
  <si>
    <t>A/c No.: 07120100038157</t>
  </si>
  <si>
    <t>RTGS/ IFSC / NEFT : BARB0DAHISA</t>
  </si>
  <si>
    <t>Mrs. YOGINI J. VAIDYA</t>
  </si>
  <si>
    <t>A/2, Megha Apartment,</t>
  </si>
  <si>
    <t xml:space="preserve">Carter Road No. 9, </t>
  </si>
  <si>
    <t>Borivli (East),</t>
  </si>
  <si>
    <t>Mumbai - 400066</t>
  </si>
  <si>
    <t>(M) 9820666076</t>
  </si>
  <si>
    <t>PAN : AACPV1874D</t>
  </si>
  <si>
    <t>Ideas Infratech India Pvt Ltd (1700 X 3)</t>
  </si>
  <si>
    <t>Rs 5100/-</t>
  </si>
  <si>
    <t>Brandworks Tech Pvt Ltd (4000 x 3)</t>
  </si>
  <si>
    <t>Rs 12000/-</t>
  </si>
  <si>
    <t>Hundia Infosolutions Pvt Ltd (3000 x 3)</t>
  </si>
  <si>
    <t>Rs 9000/-</t>
  </si>
  <si>
    <t xml:space="preserve">Borderless Sottech Pvt Ltd (3500 X 3) </t>
  </si>
  <si>
    <t>Rs 10500/-</t>
  </si>
  <si>
    <t xml:space="preserve">Stockal Software Pvt Ltd (500 X 3) </t>
  </si>
  <si>
    <t>Rs 1500/-</t>
  </si>
  <si>
    <t>Rario Digital Pvt Ltd (3500 X 3)</t>
  </si>
  <si>
    <t>* Out Of Pocket Expenses</t>
  </si>
  <si>
    <t>Beneficiary Name : YOGINI JITENDRA VAIDYA</t>
  </si>
  <si>
    <t>Bank Name : BANK OF BARODA</t>
  </si>
  <si>
    <t>Branch : BORIVALI EAST, MUMBAI</t>
  </si>
  <si>
    <t>A/c No.: 99440100004520</t>
  </si>
  <si>
    <r>
      <rPr>
        <sz val="12"/>
        <rFont val="Arial"/>
        <family val="2"/>
        <charset val="1"/>
      </rPr>
      <t>RTGS/ IFSC / NEFT : BARB</t>
    </r>
    <r>
      <rPr>
        <b/>
        <sz val="12"/>
        <rFont val="Arial"/>
        <family val="2"/>
        <charset val="1"/>
      </rPr>
      <t>0</t>
    </r>
    <r>
      <rPr>
        <sz val="12"/>
        <rFont val="Arial"/>
        <family val="2"/>
        <charset val="1"/>
      </rPr>
      <t>DBBORE</t>
    </r>
  </si>
  <si>
    <t>MICR No : 400012228</t>
  </si>
  <si>
    <t>JITENDRA R. VAIDYA</t>
  </si>
  <si>
    <t>PAN : ADYPV6218N</t>
  </si>
  <si>
    <t>Herbs Nutriproduct Pvt Ltd (4000 X 3)</t>
  </si>
  <si>
    <t>Asa Beauty Pvt Ltd (1000 x 3)</t>
  </si>
  <si>
    <t>Rs 3000/-</t>
  </si>
  <si>
    <t>Kosch Electricals Pvt Ltd (2500 x 3)</t>
  </si>
  <si>
    <t>Rs 7500/-</t>
  </si>
  <si>
    <t>S Z Lifestyle (2500 x 3)</t>
  </si>
  <si>
    <t>Edurfic Edutech Pvt Ltd (May 2022 &amp; June 2022)</t>
  </si>
  <si>
    <t>Rs 5000/-</t>
  </si>
  <si>
    <t>Edurfic Edutech Pvt Ltd (PF &amp; ESIC Reggistration/Activation)</t>
  </si>
  <si>
    <t>Rs 7000/-</t>
  </si>
  <si>
    <t>M/s Nine Power Infra Pvt Ltd</t>
  </si>
  <si>
    <t>Beneficiary Name : JITENDRA R VAIDYA</t>
  </si>
  <si>
    <t>Bank Name : SVC CO-OPERATIVE BANK LTD (Borivli East Branch)</t>
  </si>
  <si>
    <t>A/c No.: 100403130004762</t>
  </si>
  <si>
    <t>RTGS/ IFSC / NEFT : SVCB0000004</t>
  </si>
  <si>
    <t>MICR No : 400089004</t>
  </si>
  <si>
    <t>Name</t>
  </si>
  <si>
    <t>Bill No</t>
  </si>
  <si>
    <t>Name Of Client</t>
  </si>
  <si>
    <t>Date</t>
  </si>
  <si>
    <t>Amount</t>
  </si>
  <si>
    <t>PIN</t>
  </si>
  <si>
    <t>Month Of Service</t>
  </si>
  <si>
    <t>Email On</t>
  </si>
  <si>
    <t>Paid On</t>
  </si>
  <si>
    <t>JRV</t>
  </si>
  <si>
    <t>SPECTRA INTERNATIONAL LIMITED</t>
  </si>
  <si>
    <t>March 2020</t>
  </si>
  <si>
    <t>SANZI GROUP IMP &amp; EXP</t>
  </si>
  <si>
    <t>NICHROME</t>
  </si>
  <si>
    <t>Jan to Mar 2020</t>
  </si>
  <si>
    <t>SAI COLLECTION</t>
  </si>
  <si>
    <t>NEW SAI COLLECTION</t>
  </si>
  <si>
    <t>M SHASHIKANT &amp; CO</t>
  </si>
  <si>
    <t>B N JEWELLERS</t>
  </si>
  <si>
    <t>Apr &amp; May 2020</t>
  </si>
  <si>
    <t>Apr to June 2020</t>
  </si>
  <si>
    <t>June 2020</t>
  </si>
  <si>
    <t>PERFOMESH</t>
  </si>
  <si>
    <t>IDEAS INFRATECH INDIA PRIVATE LIMITED</t>
  </si>
  <si>
    <t>Growwide Businesss Solutions LLP</t>
  </si>
  <si>
    <t>Mumbai - 400002</t>
  </si>
  <si>
    <t>July 2020</t>
  </si>
  <si>
    <t>Thane</t>
  </si>
  <si>
    <t>Mumbai - 400004</t>
  </si>
  <si>
    <t>Mumbai - 400053</t>
  </si>
  <si>
    <t>June &amp; July 2020</t>
  </si>
  <si>
    <t>August 2020</t>
  </si>
  <si>
    <t>POWER GRIP</t>
  </si>
  <si>
    <t>Apr 2020 to Sep 2020</t>
  </si>
  <si>
    <t>Manual</t>
  </si>
  <si>
    <t>METAL PRESS INDIA</t>
  </si>
  <si>
    <t>September 2020</t>
  </si>
  <si>
    <t>SHALOM ENTERPRISES</t>
  </si>
  <si>
    <t>ASSOCIATED PROGRESSIVE ENGINEERING</t>
  </si>
  <si>
    <t>AMARTEJ PLASTO TRADE PVT LTD</t>
  </si>
  <si>
    <t>Jan to September 2020</t>
  </si>
  <si>
    <t>July to Sep 2020</t>
  </si>
  <si>
    <t>SAI CREATIONS</t>
  </si>
  <si>
    <t>Thane - 401105</t>
  </si>
  <si>
    <t>March 2020 to September 2020</t>
  </si>
  <si>
    <t>DC CREATIONS</t>
  </si>
  <si>
    <t>SSM Enterprises</t>
  </si>
  <si>
    <t>October 2020</t>
  </si>
  <si>
    <t>Mumbai - 400067</t>
  </si>
  <si>
    <t>November 2020</t>
  </si>
  <si>
    <t>X</t>
  </si>
  <si>
    <t>YJV</t>
  </si>
  <si>
    <t>Centrum Broking Ltd.</t>
  </si>
  <si>
    <t>Oct 2019 to Mar 2020</t>
  </si>
  <si>
    <t>Centrum Capital Ltd</t>
  </si>
  <si>
    <t>Centrum Financial Services Limited</t>
  </si>
  <si>
    <t>Recd 15.04.21</t>
  </si>
  <si>
    <t>Centrum Housing Finance Limited</t>
  </si>
  <si>
    <t>Centrum Insurance Brokers Ltd.</t>
  </si>
  <si>
    <t>Centrum Microcredit Limited</t>
  </si>
  <si>
    <t>Centrum REMA LLP</t>
  </si>
  <si>
    <t>Centrum Retail Services Limited</t>
  </si>
  <si>
    <t>Centrum Wealth Management Ltd</t>
  </si>
  <si>
    <t>WEST COAST MARINE YACHT SERVICES PVT LTD</t>
  </si>
  <si>
    <t>Casby Logistics Pvt Ltd</t>
  </si>
  <si>
    <t>Jakari Shipping Pvt Ltd</t>
  </si>
  <si>
    <t>EAGLE FREIGHT FORWARDERS PVT.LTD.</t>
  </si>
  <si>
    <t>CASBY LOGISTICS AND SOLUTIONS PRIVATE LIMITED</t>
  </si>
  <si>
    <t>JUSHI INDIA FIBERGLASS PRIVATE LIMITED</t>
  </si>
  <si>
    <t>Hindustan Security Force</t>
  </si>
  <si>
    <t>COMPOSITES SOLUTION</t>
  </si>
  <si>
    <t>Mumbai - 400011</t>
  </si>
  <si>
    <t>Recd 10000/-15.12.20</t>
  </si>
  <si>
    <t>MAGNUS COMPOSITES SYNERGIES PVT LTD</t>
  </si>
  <si>
    <t>RETRO CLOTHING PVT. LTD.</t>
  </si>
  <si>
    <t>Mumbai - 400013</t>
  </si>
  <si>
    <t>GRROWWIDE BUSINESS ADVISORS PVT LTD</t>
  </si>
  <si>
    <t>KAIKOBAD BYRAMJEE AND SONS AGENCY PVT.LTD.</t>
  </si>
  <si>
    <t>Mumbai - 400001</t>
  </si>
  <si>
    <t>16.09.20</t>
  </si>
  <si>
    <t>Ebixcash World Money Limited</t>
  </si>
  <si>
    <t>Buyforex India Limited</t>
  </si>
  <si>
    <t>Sang Infotech Pvt Ltd</t>
  </si>
  <si>
    <t>Diamond Creations</t>
  </si>
  <si>
    <t>PURI CRAWFORD INSURANCE SURVEYORS &amp; LOSS ASSESSORS INDIA PVT. LTD.</t>
  </si>
  <si>
    <t>MAPE ADVISORY GROUP PVT LTD</t>
  </si>
  <si>
    <t>Abil chempharma Pvt Ltd</t>
  </si>
  <si>
    <t>Recd 07.07.21</t>
  </si>
  <si>
    <t>GUJARAT COLOURS AND COATINGS PRIVATE LIMITED</t>
  </si>
  <si>
    <t>GLANBIA INDIA PRIVATE LIMITED</t>
  </si>
  <si>
    <t>GLANBIA PERFORMANCE NUTRITION (INDIA) PRIVATE LIMITED</t>
  </si>
  <si>
    <t>SHRINGAR HOUSE OF MANGALSUTRA PVT LTD.</t>
  </si>
  <si>
    <t>Recd 13.07.20</t>
  </si>
  <si>
    <t>Mumbai - 400005</t>
  </si>
  <si>
    <t>Recd 15000/- 19.06.21</t>
  </si>
  <si>
    <t>ENGICONS INDIA</t>
  </si>
  <si>
    <t>Mumbai - 400028</t>
  </si>
  <si>
    <t>Mumbai - 400063</t>
  </si>
  <si>
    <t>Mumbai - 400098</t>
  </si>
  <si>
    <t>Recd 15000/- 27.07.21</t>
  </si>
  <si>
    <t>Thane - 421312</t>
  </si>
  <si>
    <t>Mumbai - 400030</t>
  </si>
  <si>
    <t>Mumbai - 400093</t>
  </si>
  <si>
    <t>Recd 02.02.21</t>
  </si>
  <si>
    <t>Mumbai  - 400059</t>
  </si>
  <si>
    <t>Recd 24.12.20</t>
  </si>
  <si>
    <t>Abil Chempharma Pvt Ltd</t>
  </si>
  <si>
    <t>Recd 14545/- 10.11.21</t>
  </si>
  <si>
    <t>July &amp; Aug 2020</t>
  </si>
  <si>
    <t>Centrum Investment Advisors Limited</t>
  </si>
  <si>
    <t>Recd 31.03.21</t>
  </si>
  <si>
    <t>Liberty Jewel Box Mfg Co</t>
  </si>
  <si>
    <t>Jan to Sep 2020</t>
  </si>
  <si>
    <t>Liberty Prism Palace</t>
  </si>
  <si>
    <t>Recd 18.12.20</t>
  </si>
  <si>
    <t>Recd 07.12.20 (1500)</t>
  </si>
  <si>
    <t>Recd 01.02.21</t>
  </si>
  <si>
    <t>Recd 29.04.21</t>
  </si>
  <si>
    <t>Recd 19.03.21</t>
  </si>
  <si>
    <t>Recd 08.12.20</t>
  </si>
  <si>
    <t>Recd 2000 (ESIC Registration) + 500 (07.12.20)</t>
  </si>
  <si>
    <t>Recd 07.12.20</t>
  </si>
  <si>
    <t>Recd 07.01.21 TDS 218</t>
  </si>
  <si>
    <t>Recd 12.12.20</t>
  </si>
  <si>
    <t>Recd 21.12.20</t>
  </si>
  <si>
    <t>Recd 1500 (07.12.20); Recd 500 (07.02.21)</t>
  </si>
  <si>
    <t>ANUPAM HERITAGE LAB (INDIA) LTD</t>
  </si>
  <si>
    <t>October 2020 to December 2020</t>
  </si>
  <si>
    <t>Oct 2020 to Dec 2020</t>
  </si>
  <si>
    <t>Recd 23.03.21</t>
  </si>
  <si>
    <t>For Herbs</t>
  </si>
  <si>
    <t>Ideas 1600pm, Concept 4000pm, Brandworks 3500pm, 2200 July to Sep Diff, 1000 Brandworks MLWF</t>
  </si>
  <si>
    <t>R N SURESH TOOLS CORPORATION</t>
  </si>
  <si>
    <t>Apr 2020 to June 2020</t>
  </si>
  <si>
    <t>Jul 2020 to Dec 2020</t>
  </si>
  <si>
    <t>December 2020</t>
  </si>
  <si>
    <t>Recd 20.01.21</t>
  </si>
  <si>
    <t>Rs 300/- added for ESIC, Rs 600/- Oct &amp; Nov2020 Arrears</t>
  </si>
  <si>
    <t>Rs 1000/- added for ESIC, Rs 2000/- Oct &amp; Nov2020 Arrears</t>
  </si>
  <si>
    <t>Recd 1500 + 500 (07.02.21)</t>
  </si>
  <si>
    <t>Recd 30.01.21</t>
  </si>
  <si>
    <t>Refer LYKIS from Jan 2021</t>
  </si>
  <si>
    <t>Refer Lykis w.e.f Jan 2021</t>
  </si>
  <si>
    <t>LYKIS LIMITED</t>
  </si>
  <si>
    <t>Recd 29.01.21</t>
  </si>
  <si>
    <t>January 2021</t>
  </si>
  <si>
    <t>Recd 05.03.21</t>
  </si>
  <si>
    <t>Rs 300 for ESIC + RS 900 (Oct to Dec 2020 ESIC)</t>
  </si>
  <si>
    <t>For Asa Beauty</t>
  </si>
  <si>
    <t>Recd 22.02.21</t>
  </si>
  <si>
    <t>CUTTING CREW FILMS LLP</t>
  </si>
  <si>
    <t>Mumbai - 400052</t>
  </si>
  <si>
    <t>Recd 07.04.21</t>
  </si>
  <si>
    <t>Recd 1500 (07.02.21)</t>
  </si>
  <si>
    <t>ESIC Regsitration</t>
  </si>
  <si>
    <t>FOR CIALTD ESIC</t>
  </si>
  <si>
    <t>DATTANI CONSTRUCTION</t>
  </si>
  <si>
    <t>April 2020 to Dec 2020</t>
  </si>
  <si>
    <t>KALINDI ESTATE DEVELOPERS</t>
  </si>
  <si>
    <t>Recd 13.02.21</t>
  </si>
  <si>
    <t>In Process</t>
  </si>
  <si>
    <t>Recd 17.03.21</t>
  </si>
  <si>
    <t>February 2021</t>
  </si>
  <si>
    <t>Recd 2500 (07.03.21)</t>
  </si>
  <si>
    <t>January 2021 to March 2021</t>
  </si>
  <si>
    <t>500 PF Office Coneyance</t>
  </si>
  <si>
    <t>SUYOG PHARMACEUTICALS</t>
  </si>
  <si>
    <t>Palghar</t>
  </si>
  <si>
    <t>April 2020 to March 2021</t>
  </si>
  <si>
    <t>G Loucatos &amp; Co.</t>
  </si>
  <si>
    <t>Graphic Innovators India Pvt Ltd</t>
  </si>
  <si>
    <t>Manoj Ceramic Limited</t>
  </si>
  <si>
    <t>Oct 2020 to March 2021</t>
  </si>
  <si>
    <t>Sai Om Logistics</t>
  </si>
  <si>
    <t>Raigadh</t>
  </si>
  <si>
    <t>Dec 2020 to Mar 2021</t>
  </si>
  <si>
    <t>Recd 26.03.21</t>
  </si>
  <si>
    <t>March 2021</t>
  </si>
  <si>
    <t>Recd 05.04.21</t>
  </si>
  <si>
    <t>Oct 2020 to Mar 2021</t>
  </si>
  <si>
    <t>Jan 2021 to Mar 2021</t>
  </si>
  <si>
    <t>Ideas 1600pm, Concept 4000pm, Brandworks 3500pm</t>
  </si>
  <si>
    <t>Herbs 3500pm ; Asa Beauty 1000 pm</t>
  </si>
  <si>
    <t>Recd</t>
  </si>
  <si>
    <t>Feb 2021 to March 2021</t>
  </si>
  <si>
    <t>Jan 2021 to March 2021</t>
  </si>
  <si>
    <t>HKV</t>
  </si>
  <si>
    <t>091</t>
  </si>
  <si>
    <t>092</t>
  </si>
  <si>
    <t>093</t>
  </si>
  <si>
    <t>094</t>
  </si>
  <si>
    <t>Recd 24.05.21</t>
  </si>
  <si>
    <t>095</t>
  </si>
  <si>
    <t>096</t>
  </si>
  <si>
    <t>097</t>
  </si>
  <si>
    <t>098</t>
  </si>
  <si>
    <t>099</t>
  </si>
  <si>
    <t>100</t>
  </si>
  <si>
    <t>Recd 25.05.21</t>
  </si>
  <si>
    <t>April 2021</t>
  </si>
  <si>
    <t>100 p.m.</t>
  </si>
  <si>
    <t>3459G</t>
  </si>
  <si>
    <t>April 2021 to June 2021</t>
  </si>
  <si>
    <t>100 P.M.</t>
  </si>
  <si>
    <t>Recd 20.05.21</t>
  </si>
  <si>
    <t>Recd 04.06.21 TDS 320</t>
  </si>
  <si>
    <t>10.05.21</t>
  </si>
  <si>
    <t>EPFO / ESIC Regsistration</t>
  </si>
  <si>
    <t>May 2021</t>
  </si>
  <si>
    <t>Recd 21.06.21</t>
  </si>
  <si>
    <t>09.06.21</t>
  </si>
  <si>
    <t>B. N. JEWELLERS INDIA PRIVATE LIMITED</t>
  </si>
  <si>
    <t>June 2021</t>
  </si>
  <si>
    <t>krutika Salvi</t>
  </si>
  <si>
    <t>Recd 21.07.21</t>
  </si>
  <si>
    <t>08.07.21</t>
  </si>
  <si>
    <t>100 pm</t>
  </si>
  <si>
    <t>Ideas 1600pm, Brandworks 3500pm, Hundia 1500 pm</t>
  </si>
  <si>
    <t>Recd 12.07.21</t>
  </si>
  <si>
    <t>105</t>
  </si>
  <si>
    <t>Establishment Registration (PF &amp; ESIC)</t>
  </si>
  <si>
    <t>July 2021</t>
  </si>
  <si>
    <t>Rs 1000 w.e.f June 2021</t>
  </si>
  <si>
    <t>Recd 20.08.21</t>
  </si>
  <si>
    <t>06.09.21</t>
  </si>
  <si>
    <t>SUN WING CARRIERS</t>
  </si>
  <si>
    <t>Mumbai - 400009</t>
  </si>
  <si>
    <t>Rs 1000/-</t>
  </si>
  <si>
    <t>Joytara Enterprises</t>
  </si>
  <si>
    <t>Dattani Estate Developers</t>
  </si>
  <si>
    <t>Apr 2021 to June 2021</t>
  </si>
  <si>
    <t>August 2021</t>
  </si>
  <si>
    <t>Recd 21.09.21</t>
  </si>
  <si>
    <t>September 2021</t>
  </si>
  <si>
    <t>Recd 02.10.21 TDS 320</t>
  </si>
  <si>
    <t>July 2021 to September 2021</t>
  </si>
  <si>
    <t>April 2021 to September 2021</t>
  </si>
  <si>
    <t>Bill Cancelled</t>
  </si>
  <si>
    <t>3523G</t>
  </si>
  <si>
    <t>08.10.21</t>
  </si>
  <si>
    <t>K7 : Rs 2500pm, Stockal Rs 5000 (Nov 20 to Aug 21), Borderless Rs 12500 (Nov 20 to Mar 2021)</t>
  </si>
  <si>
    <t>Diff. April 2021 to Sep 2021</t>
  </si>
  <si>
    <t>October 2021</t>
  </si>
  <si>
    <t>Recd 30.10.21 TDS 320</t>
  </si>
  <si>
    <t>Out Of Pocket Expenses</t>
  </si>
  <si>
    <t>Recd 22.11.21</t>
  </si>
  <si>
    <t>Recd 01.11.21 TDS 900</t>
  </si>
  <si>
    <t>03.11.21</t>
  </si>
  <si>
    <t>Borderless Rs 7500 (April 2021 to June 2021)</t>
  </si>
  <si>
    <t>November 2021</t>
  </si>
  <si>
    <t>07.12.21</t>
  </si>
  <si>
    <t>SEA WAIF</t>
  </si>
  <si>
    <t>October 2021 &amp; November 2021</t>
  </si>
  <si>
    <t>October 2021 to December 2021</t>
  </si>
  <si>
    <t>December 2021</t>
  </si>
  <si>
    <t>13.01.22</t>
  </si>
  <si>
    <t>Sent Revised Bill on 28.01.22</t>
  </si>
  <si>
    <t>LAXMI CREATION</t>
  </si>
  <si>
    <t>Ideas 1600pm, Brandworks 4000pm, Hundia 1500 pm, K7 : 2500pm</t>
  </si>
  <si>
    <t>Herbs 4000pm ; Asa Beauty 1000 pm</t>
  </si>
  <si>
    <t>September 2021 to December 2021</t>
  </si>
  <si>
    <t>Stockal : Rs 500 pm</t>
  </si>
  <si>
    <t>Borderless Rs 2500 pm</t>
  </si>
  <si>
    <t>January 2022</t>
  </si>
  <si>
    <t>31.03.22</t>
  </si>
  <si>
    <t>February 2022</t>
  </si>
  <si>
    <t>DINILS ADHESIVES PVT LTD</t>
  </si>
  <si>
    <t>April 2021 to March 2022</t>
  </si>
  <si>
    <t>January 2022 to March 2022</t>
  </si>
  <si>
    <t>March 2022</t>
  </si>
  <si>
    <t>January 2022 to March  2022</t>
  </si>
  <si>
    <t>October 2021 to March  2022</t>
  </si>
  <si>
    <t>EPFO Regsistration</t>
  </si>
  <si>
    <t>Ideas 1600pm, Brandworks 4000pm, Hundia 1500 pm</t>
  </si>
  <si>
    <t>Borderless Rs 2500 pm ; Stockal Rs 500 pm</t>
  </si>
  <si>
    <t>Kosch Electricals Pvt Ltd (7000 + 1000) ; S Z Lifestyle (8000 + 3000)</t>
  </si>
  <si>
    <t>RITESH BURAD &amp; CO</t>
  </si>
  <si>
    <t>April 2022</t>
  </si>
  <si>
    <t>200 p.m.</t>
  </si>
  <si>
    <t>Rs 1000</t>
  </si>
  <si>
    <t>Shree Diamond</t>
  </si>
  <si>
    <t>May 2022</t>
  </si>
  <si>
    <t>Out Of Pocket Expenses Rs 500</t>
  </si>
  <si>
    <t>'April 2022 &amp; May 2022</t>
  </si>
  <si>
    <t>June 2022</t>
  </si>
  <si>
    <t>Billed</t>
  </si>
  <si>
    <t>Actual Bill</t>
  </si>
  <si>
    <t>April 2022 to June 2022</t>
  </si>
  <si>
    <t>Herbs 4000pm ; Asa Beauty 1000 pm ; Kosch Electricals Pvt Ltd Rs 2500 pm ; S Z Lifestyle Rs 2500 pm ; Edurfic Eduteh Pvt Ltd Rs 2500 pm</t>
  </si>
  <si>
    <t>Ideas 1700pm, Brandworks 4000pm, Hundia 30000 pm ; Borderless Rs 3500 pm ; Stockal Rs 500 pm; Rario Digital Rs 1500 pm</t>
  </si>
  <si>
    <t>Aidasani’z</t>
  </si>
  <si>
    <t>Rs 8500 wef June 2022</t>
  </si>
  <si>
    <t>SUN-WING ROADWAYS</t>
  </si>
  <si>
    <t>Mumbai – 400083</t>
  </si>
  <si>
    <t>RS 6000 PM</t>
  </si>
  <si>
    <t>July 2022</t>
  </si>
  <si>
    <t>Excess 1100</t>
  </si>
  <si>
    <t>August 2022</t>
  </si>
  <si>
    <t>-</t>
  </si>
  <si>
    <t>September 2022</t>
  </si>
  <si>
    <t>October 2022</t>
  </si>
  <si>
    <t>July 2022 to September 2022</t>
  </si>
  <si>
    <t>August 2022 &amp; September 2022</t>
  </si>
  <si>
    <t>Ideas 1700pm, Brandworks 4000pm, Hundia 3000 pm ; Borderless Rs 3500 pm ; Stockal Rs 500 pm</t>
  </si>
  <si>
    <t>Herbs 4000pm ; Asa Beauty 1000 pm ; Kosch Electricals Pvt Ltd Rs 2500 pm ; S Z Lifestyle Rs 2500 pm ; Edurfic Eduteh Pvt Ltd Rs 1000 pm</t>
  </si>
  <si>
    <t>April 2022 To September 2022</t>
  </si>
  <si>
    <t>Out Of Pocket Exp Rs 2000</t>
  </si>
  <si>
    <t>Out Of Pocket Exp Rs 1000</t>
  </si>
  <si>
    <t>November 2022</t>
  </si>
  <si>
    <t>October 2022 to December 2022</t>
  </si>
  <si>
    <t>December 2022</t>
  </si>
  <si>
    <t>Ideas 1700pm, Brandworks 4000pm, Hundia 3000 pm ; Borderless Rs 3500 pm ; Stockal Rs 500 pm; Rario Rs 1500 pm</t>
  </si>
  <si>
    <t>Thane – 421302</t>
  </si>
  <si>
    <t>January 2023</t>
  </si>
  <si>
    <t>PRABHAT MARITIME SERVICES PRIVATE LIMITED</t>
  </si>
  <si>
    <t>Sum - Amount</t>
  </si>
  <si>
    <t>(empty)</t>
  </si>
  <si>
    <t>Total Result</t>
  </si>
  <si>
    <t>Bill No.:</t>
  </si>
  <si>
    <t>Bill</t>
  </si>
  <si>
    <t>Party</t>
  </si>
  <si>
    <t>Month</t>
  </si>
  <si>
    <t>Jul 2022 to Sep 2022</t>
  </si>
  <si>
    <t>Rario Digital Pvt Ltd (1500 X 1); September 2022</t>
  </si>
  <si>
    <t>Total</t>
  </si>
  <si>
    <r>
      <rPr>
        <sz val="10"/>
        <rFont val="Arial"/>
        <family val="2"/>
        <charset val="1"/>
      </rPr>
      <t xml:space="preserve">M/s Rario Digital Pvt Ltd </t>
    </r>
    <r>
      <rPr>
        <b/>
        <sz val="11"/>
        <rFont val="Arial"/>
        <family val="2"/>
        <charset val="1"/>
      </rPr>
      <t>(PF &amp; ESIC Reggistration/Activation)</t>
    </r>
  </si>
  <si>
    <t>Eduritic Edutech Pvt Ltd (1000 x 3)</t>
  </si>
  <si>
    <t>Grand Total</t>
  </si>
  <si>
    <t>Oct 2022 to Dec 2022</t>
  </si>
  <si>
    <t>April 2022 to March 2023</t>
  </si>
  <si>
    <t>PROFESSIONAL CONNEXIONS CONSULTING PVT. LTD.</t>
  </si>
  <si>
    <t>February 2023</t>
  </si>
  <si>
    <t>March 2023</t>
  </si>
  <si>
    <t>January 2023 To March 2023</t>
  </si>
  <si>
    <t>October 2022 To March 2023</t>
  </si>
  <si>
    <t>Jan 2023 to Mar 2023</t>
  </si>
  <si>
    <t>Monarch Liberty Worldwide Hospitality LLP</t>
  </si>
  <si>
    <t>EPFO &amp; ESIC Registration</t>
  </si>
  <si>
    <t>Monarch Liberty Worldwide Hospitality LLP (1000 X 3)</t>
  </si>
  <si>
    <t>Herbs Nutriproduct Pvt Ltd</t>
  </si>
  <si>
    <t>MLWF Return Jun 2022 &amp; Dec 2022</t>
  </si>
  <si>
    <t>Company's Name</t>
  </si>
  <si>
    <t>Prevailing Fees</t>
  </si>
  <si>
    <t>Proposed Fees (W.e.f 01/04/2023)</t>
  </si>
  <si>
    <t>April 2023</t>
  </si>
  <si>
    <t xml:space="preserve">100 pm </t>
  </si>
  <si>
    <t>300 HLF Yly</t>
  </si>
  <si>
    <t>200 pm</t>
  </si>
  <si>
    <t>800 pm</t>
  </si>
  <si>
    <t>300 pm</t>
  </si>
  <si>
    <t>No Raise</t>
  </si>
  <si>
    <t>May 2023</t>
  </si>
  <si>
    <t>HEENA CARGO MOVERS PVT LTD</t>
  </si>
  <si>
    <t>360 Degree Supply Chain Management Pvt. Ltd.</t>
  </si>
  <si>
    <t>ESIC Registration Rs 1500/-</t>
  </si>
  <si>
    <t>April 2023 To June 2023</t>
  </si>
  <si>
    <t>100 pm + Rs 1000 Out Of Expense</t>
  </si>
  <si>
    <t>June 2023</t>
  </si>
  <si>
    <t>Apr 2023 to Jun 2023</t>
  </si>
  <si>
    <t>MLWF Return June 2023</t>
  </si>
  <si>
    <t>Herbs 4000pm ; Herbs MLWF 500; Asa Beauty 1000 pm ; S Z Lifestyle Rs 2500 pm ;  Momarch Rs 1000 pm</t>
  </si>
  <si>
    <t>Ideas 1700pm, Brandworks 4500pm, Hundia 3000 pm ; Borderless Rs 3500 pm ; Stockal Rs 500 pm; Rario Rs 1500 pm</t>
  </si>
  <si>
    <t>July 2023</t>
  </si>
  <si>
    <t>MLWF : June 2023</t>
  </si>
  <si>
    <t>Herbs 4000pm ; Herbs MLWF 500; Asa Beauty 1000 pm ; S Z Lifestyle Rs 2500 pm ;  Eduritfic Rs 1000 pm Monarch Rs 1000 pm</t>
  </si>
  <si>
    <t>Mobavenue Rs 4500 pm</t>
  </si>
  <si>
    <t>Mobavenue Media Pvt Ltd (4500 X 3)</t>
  </si>
  <si>
    <t>PAN : AFGPV6968M</t>
  </si>
  <si>
    <t>August 2023</t>
  </si>
  <si>
    <t>Pillion Rider LLP (3500 X3)</t>
  </si>
  <si>
    <t>Pillion Rider LLP Rs 3500 pm</t>
  </si>
  <si>
    <t>2070 (Dt : 05/09/23)</t>
  </si>
  <si>
    <t>Arrears April 2023 To June 2023</t>
  </si>
  <si>
    <t>September 2023</t>
  </si>
  <si>
    <t>July 2023 To September 2023</t>
  </si>
  <si>
    <t>April 2023 To September 2023</t>
  </si>
  <si>
    <t>Out Of Pocket Exp : 500</t>
  </si>
  <si>
    <t>Rs 1000 Out Of Expense</t>
  </si>
  <si>
    <t>Jul 2023 To Sep 2023</t>
  </si>
  <si>
    <t>Mobavenue Media Pvt Ltd (Out Of Pocket Expenses)</t>
  </si>
  <si>
    <t>October 2023</t>
  </si>
  <si>
    <t>Out Of Poket Rs 2000</t>
  </si>
  <si>
    <t>Out Of Pocket Exp Rs 1500</t>
  </si>
  <si>
    <t>November 2023</t>
  </si>
  <si>
    <t>"To Cancel from Bill w.e.f Nov 2023"</t>
  </si>
  <si>
    <t>December 2023</t>
  </si>
  <si>
    <t>October 2023 To December 2023</t>
  </si>
  <si>
    <t>Brandworks Tech Pvt Ltd (4500 x 3)</t>
  </si>
  <si>
    <t>Hundia Infosolutions Pvt Ltd (3500 x 3)</t>
  </si>
  <si>
    <t>Mobavenue Media Pvt Ltd (3500 X 3)</t>
  </si>
  <si>
    <t>Framebox Animation &amp; Visual Effects Pvt Ltd (3500 X 3)</t>
  </si>
  <si>
    <t>Health &amp; Beyond Foods Pvt Ltd</t>
  </si>
  <si>
    <t>Monarch Liberty Worldwide Hospitality LLP (2500 X 3)</t>
  </si>
  <si>
    <t>DSC Registration</t>
  </si>
  <si>
    <t>January 2024</t>
  </si>
  <si>
    <t>Arrears April 2023 To December 2023</t>
  </si>
  <si>
    <r>
      <t>*Charges For Maintenance and Professional Advice OF P.F.,</t>
    </r>
    <r>
      <rPr>
        <sz val="10"/>
        <rFont val="Arial"/>
        <family val="2"/>
      </rPr>
      <t xml:space="preserve"> ESIC,</t>
    </r>
    <r>
      <rPr>
        <sz val="10"/>
        <color theme="0"/>
        <rFont val="Arial"/>
        <family val="2"/>
      </rPr>
      <t xml:space="preserve"> P. Tax &amp; Others</t>
    </r>
  </si>
  <si>
    <t>February 2024</t>
  </si>
  <si>
    <t>April 2023 to March 2024</t>
  </si>
  <si>
    <t>Ebixcash</t>
  </si>
  <si>
    <t>Buyforex</t>
  </si>
  <si>
    <t>Active</t>
  </si>
  <si>
    <t>Inactive</t>
  </si>
  <si>
    <t>Total Head Count</t>
  </si>
  <si>
    <t>March 2024</t>
  </si>
  <si>
    <t>January 2024 To March 2024</t>
  </si>
  <si>
    <t>October 2023 To March 2024</t>
  </si>
  <si>
    <t>Diamond Creations Private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</si>
</sst>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\-??_);_(@_)"/>
    <numFmt numFmtId="165" formatCode="_(\$* #,##0.00_);_(\$* \(#,##0.00\);_(\$* \-??_);_(@_)"/>
    <numFmt numFmtId="166" formatCode="dd/mm/yy"/>
    <numFmt numFmtId="167" formatCode="&quot;₹&quot;\ #,##0.00"/>
  </numFmts>
  <fonts count="40">
    <font>
      <sz val="11"/>
      <name val="Arial"/>
      <family val="2"/>
      <charset val="1"/>
    </font>
    <font>
      <b/>
      <sz val="11"/>
      <name val="Arial"/>
      <family val="2"/>
      <charset val="1"/>
    </font>
    <font>
      <b/>
      <sz val="22"/>
      <name val="Apple Chancery"/>
      <family val="4"/>
      <charset val="1"/>
    </font>
    <font>
      <sz val="16"/>
      <name val="Arial"/>
      <family val="2"/>
      <charset val="1"/>
    </font>
    <font>
      <sz val="16"/>
      <name val="Trebuchet MS"/>
      <family val="2"/>
      <charset val="1"/>
    </font>
    <font>
      <b/>
      <sz val="28"/>
      <color rgb="FF8394C9"/>
      <name val="Trebuchet MS"/>
      <family val="2"/>
      <charset val="1"/>
    </font>
    <font>
      <b/>
      <sz val="28"/>
      <color rgb="FF949494"/>
      <name val="Arial"/>
      <family val="2"/>
      <charset val="1"/>
    </font>
    <font>
      <sz val="10"/>
      <name val="Arial"/>
      <family val="2"/>
      <charset val="1"/>
    </font>
    <font>
      <sz val="8"/>
      <name val="Tahoma"/>
      <family val="2"/>
      <charset val="1"/>
    </font>
    <font>
      <u/>
      <sz val="10"/>
      <color rgb="FF0000FF"/>
      <name val="Verdana"/>
      <family val="2"/>
      <charset val="1"/>
    </font>
    <font>
      <b/>
      <sz val="9"/>
      <name val="Arial"/>
      <family val="2"/>
      <charset val="1"/>
    </font>
    <font>
      <sz val="9"/>
      <color rgb="FF3B4E87"/>
      <name val="Arial"/>
      <family val="2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color rgb="FFFFFFFF"/>
      <name val="Arial"/>
      <family val="2"/>
      <charset val="1"/>
    </font>
    <font>
      <i/>
      <sz val="11"/>
      <name val="Arial"/>
      <family val="2"/>
      <charset val="1"/>
    </font>
    <font>
      <b/>
      <sz val="14"/>
      <name val="Arial"/>
      <family val="2"/>
      <charset val="1"/>
    </font>
    <font>
      <b/>
      <sz val="12"/>
      <color rgb="FF3A3A3A"/>
      <name val="Arial"/>
      <family val="2"/>
      <charset val="1"/>
    </font>
    <font>
      <b/>
      <u/>
      <sz val="11"/>
      <name val="Arial"/>
      <family val="2"/>
      <charset val="1"/>
    </font>
    <font>
      <sz val="12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22"/>
      <name val="Georgia Pro Cond Black"/>
      <family val="1"/>
      <charset val="1"/>
    </font>
    <font>
      <b/>
      <sz val="9"/>
      <color rgb="FF3B4E87"/>
      <name val="Arial"/>
      <family val="2"/>
      <charset val="1"/>
    </font>
    <font>
      <b/>
      <sz val="10"/>
      <name val="Arial Black"/>
      <family val="2"/>
      <charset val="1"/>
    </font>
    <font>
      <sz val="10"/>
      <name val="Arial Rounded MT Bold"/>
      <family val="2"/>
      <charset val="1"/>
    </font>
    <font>
      <b/>
      <sz val="8"/>
      <color rgb="FF424242"/>
      <name val="Segoe UI"/>
      <family val="2"/>
      <charset val="1"/>
    </font>
    <font>
      <sz val="11"/>
      <color rgb="FF222222"/>
      <name val="Arial"/>
      <family val="2"/>
      <charset val="1"/>
    </font>
    <font>
      <sz val="11"/>
      <color rgb="FFFF0000"/>
      <name val="Arial"/>
      <family val="2"/>
      <charset val="1"/>
    </font>
    <font>
      <sz val="11"/>
      <color rgb="FFBF0041"/>
      <name val="Arial"/>
      <family val="2"/>
      <charset val="1"/>
    </font>
    <font>
      <b/>
      <sz val="12"/>
      <color rgb="FFBF0041"/>
      <name val="Arial"/>
      <family val="2"/>
      <charset val="1"/>
    </font>
    <font>
      <sz val="11"/>
      <name val="Arial"/>
      <family val="2"/>
      <charset val="1"/>
    </font>
    <font>
      <b/>
      <sz val="8"/>
      <color rgb="FF424242"/>
      <name val="Segoe UI"/>
      <family val="2"/>
    </font>
    <font>
      <sz val="9"/>
      <name val="Arial"/>
      <family val="2"/>
      <charset val="1"/>
    </font>
    <font>
      <sz val="11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  <charset val="1"/>
    </font>
    <font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DBDBDB"/>
        <bgColor rgb="FFDEDCE6"/>
      </patternFill>
    </fill>
    <fill>
      <patternFill patternType="solid">
        <fgColor rgb="FF666666"/>
        <bgColor rgb="FF808080"/>
      </patternFill>
    </fill>
    <fill>
      <patternFill patternType="solid">
        <fgColor rgb="FF92D050"/>
        <bgColor rgb="FF81D41A"/>
      </patternFill>
    </fill>
    <fill>
      <patternFill patternType="solid">
        <fgColor rgb="FFFFC000"/>
        <bgColor rgb="FFFFBF00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33CCCC"/>
      </patternFill>
    </fill>
    <fill>
      <patternFill patternType="solid">
        <fgColor rgb="FF81D41A"/>
        <bgColor rgb="FF92D050"/>
      </patternFill>
    </fill>
    <fill>
      <patternFill patternType="solid">
        <fgColor rgb="FFDEDCE6"/>
        <bgColor rgb="FFDBDBDB"/>
      </patternFill>
    </fill>
    <fill>
      <patternFill patternType="solid">
        <fgColor rgb="FFFFBF00"/>
        <bgColor rgb="FFFFC000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808080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9">
    <xf numFmtId="0" fontId="0" fillId="0" borderId="0"/>
    <xf numFmtId="164" fontId="31" fillId="0" borderId="0" applyBorder="0" applyProtection="0"/>
    <xf numFmtId="0" fontId="9" fillId="0" borderId="0" applyBorder="0" applyProtection="0"/>
    <xf numFmtId="0" fontId="31" fillId="0" borderId="0" applyBorder="0" applyProtection="0">
      <alignment horizontal="left"/>
    </xf>
    <xf numFmtId="0" fontId="31" fillId="0" borderId="0" applyBorder="0" applyProtection="0"/>
    <xf numFmtId="0" fontId="31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31" fillId="0" borderId="0" applyBorder="0" applyProtection="0"/>
  </cellStyleXfs>
  <cellXfs count="250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1" applyNumberFormat="1" applyFont="1" applyBorder="1" applyAlignment="1" applyProtection="1">
      <alignment horizontal="left"/>
    </xf>
    <xf numFmtId="0" fontId="9" fillId="0" borderId="0" xfId="2" applyBorder="1" applyAlignment="1" applyProtection="1">
      <alignment horizontal="left"/>
    </xf>
    <xf numFmtId="0" fontId="7" fillId="0" borderId="0" xfId="0" applyFont="1" applyAlignment="1" applyProtection="1">
      <alignment vertical="top"/>
      <protection locked="0"/>
    </xf>
    <xf numFmtId="0" fontId="10" fillId="2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 applyProtection="1">
      <alignment vertical="center"/>
      <protection locked="0"/>
    </xf>
    <xf numFmtId="0" fontId="10" fillId="2" borderId="2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vertical="center"/>
    </xf>
    <xf numFmtId="0" fontId="7" fillId="0" borderId="4" xfId="0" applyFont="1" applyBorder="1" applyAlignment="1" applyProtection="1">
      <alignment horizontal="left" vertical="center" indent="1"/>
      <protection locked="0"/>
    </xf>
    <xf numFmtId="164" fontId="7" fillId="0" borderId="5" xfId="0" applyNumberFormat="1" applyFont="1" applyBorder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17" fontId="7" fillId="0" borderId="0" xfId="0" applyNumberFormat="1" applyFont="1" applyAlignment="1" applyProtection="1">
      <alignment vertical="center"/>
      <protection locked="0"/>
    </xf>
    <xf numFmtId="0" fontId="14" fillId="0" borderId="4" xfId="0" applyFont="1" applyBorder="1" applyAlignment="1" applyProtection="1">
      <alignment horizontal="left" vertical="center" indent="1"/>
      <protection locked="0"/>
    </xf>
    <xf numFmtId="0" fontId="7" fillId="0" borderId="0" xfId="0" applyFont="1" applyAlignment="1" applyProtection="1">
      <alignment horizontal="right" vertical="center" indent="1"/>
      <protection locked="0"/>
    </xf>
    <xf numFmtId="164" fontId="13" fillId="0" borderId="6" xfId="1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/>
    </xf>
    <xf numFmtId="165" fontId="17" fillId="0" borderId="0" xfId="0" applyNumberFormat="1" applyFont="1" applyAlignment="1">
      <alignment horizontal="right" vertical="center"/>
    </xf>
    <xf numFmtId="0" fontId="12" fillId="0" borderId="0" xfId="0" applyFont="1"/>
    <xf numFmtId="0" fontId="18" fillId="0" borderId="7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/>
    <xf numFmtId="0" fontId="19" fillId="0" borderId="10" xfId="0" applyFont="1" applyBorder="1" applyAlignment="1">
      <alignment horizontal="left"/>
    </xf>
    <xf numFmtId="0" fontId="19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20" fillId="3" borderId="15" xfId="0" applyFont="1" applyFill="1" applyBorder="1" applyAlignment="1" applyProtection="1">
      <alignment vertical="center"/>
      <protection locked="0"/>
    </xf>
    <xf numFmtId="0" fontId="19" fillId="3" borderId="16" xfId="0" applyFont="1" applyFill="1" applyBorder="1" applyAlignment="1" applyProtection="1">
      <alignment vertical="center"/>
      <protection locked="0"/>
    </xf>
    <xf numFmtId="0" fontId="10" fillId="2" borderId="17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 applyProtection="1">
      <alignment horizontal="left" vertical="center" indent="1"/>
      <protection locked="0"/>
    </xf>
    <xf numFmtId="0" fontId="7" fillId="0" borderId="21" xfId="0" applyFont="1" applyBorder="1" applyAlignment="1" applyProtection="1">
      <alignment vertical="center"/>
      <protection locked="0"/>
    </xf>
    <xf numFmtId="0" fontId="7" fillId="0" borderId="22" xfId="0" applyFont="1" applyBorder="1" applyAlignment="1" applyProtection="1">
      <alignment vertical="center"/>
      <protection locked="0"/>
    </xf>
    <xf numFmtId="164" fontId="7" fillId="0" borderId="23" xfId="0" applyNumberFormat="1" applyFont="1" applyBorder="1" applyAlignment="1" applyProtection="1">
      <alignment horizontal="right" vertical="center"/>
      <protection locked="0"/>
    </xf>
    <xf numFmtId="0" fontId="7" fillId="0" borderId="24" xfId="0" applyFont="1" applyBorder="1" applyAlignment="1" applyProtection="1">
      <alignment horizontal="left" vertical="center" indent="1"/>
      <protection locked="0"/>
    </xf>
    <xf numFmtId="0" fontId="7" fillId="0" borderId="25" xfId="0" applyFont="1" applyBorder="1" applyAlignment="1" applyProtection="1">
      <alignment vertical="center"/>
      <protection locked="0"/>
    </xf>
    <xf numFmtId="164" fontId="7" fillId="0" borderId="26" xfId="0" applyNumberFormat="1" applyFont="1" applyBorder="1" applyAlignment="1" applyProtection="1">
      <alignment horizontal="right" vertical="center"/>
      <protection locked="0"/>
    </xf>
    <xf numFmtId="0" fontId="12" fillId="0" borderId="25" xfId="0" applyFont="1" applyBorder="1" applyAlignment="1" applyProtection="1">
      <alignment horizontal="right" vertical="center"/>
      <protection locked="0"/>
    </xf>
    <xf numFmtId="0" fontId="12" fillId="0" borderId="24" xfId="0" applyFont="1" applyBorder="1" applyAlignment="1" applyProtection="1">
      <alignment horizontal="left" vertical="center" indent="1"/>
      <protection locked="0"/>
    </xf>
    <xf numFmtId="0" fontId="1" fillId="0" borderId="26" xfId="0" applyFont="1" applyBorder="1"/>
    <xf numFmtId="0" fontId="12" fillId="0" borderId="27" xfId="0" applyFont="1" applyBorder="1" applyAlignment="1" applyProtection="1">
      <alignment horizontal="right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0" fillId="0" borderId="24" xfId="0" applyBorder="1"/>
    <xf numFmtId="0" fontId="1" fillId="0" borderId="0" xfId="0" applyFont="1"/>
    <xf numFmtId="0" fontId="21" fillId="0" borderId="0" xfId="0" applyFont="1" applyAlignment="1" applyProtection="1">
      <alignment vertical="center"/>
      <protection locked="0"/>
    </xf>
    <xf numFmtId="0" fontId="7" fillId="0" borderId="28" xfId="0" applyFont="1" applyBorder="1" applyAlignment="1" applyProtection="1">
      <alignment horizontal="left" vertical="center" indent="1"/>
      <protection locked="0"/>
    </xf>
    <xf numFmtId="0" fontId="7" fillId="0" borderId="29" xfId="0" applyFont="1" applyBorder="1" applyAlignment="1" applyProtection="1">
      <alignment vertical="center"/>
      <protection locked="0"/>
    </xf>
    <xf numFmtId="0" fontId="7" fillId="0" borderId="30" xfId="0" applyFont="1" applyBorder="1" applyAlignment="1" applyProtection="1">
      <alignment vertical="center"/>
      <protection locked="0"/>
    </xf>
    <xf numFmtId="164" fontId="7" fillId="0" borderId="31" xfId="0" applyNumberFormat="1" applyFont="1" applyBorder="1" applyAlignment="1" applyProtection="1">
      <alignment horizontal="right" vertical="center"/>
      <protection locked="0"/>
    </xf>
    <xf numFmtId="0" fontId="16" fillId="0" borderId="2" xfId="0" applyFont="1" applyBorder="1" applyAlignment="1">
      <alignment vertical="center"/>
    </xf>
    <xf numFmtId="0" fontId="0" fillId="0" borderId="3" xfId="0" applyBorder="1"/>
    <xf numFmtId="0" fontId="16" fillId="0" borderId="3" xfId="0" applyFont="1" applyBorder="1" applyAlignment="1">
      <alignment vertical="center"/>
    </xf>
    <xf numFmtId="0" fontId="0" fillId="0" borderId="0" xfId="0" applyAlignment="1">
      <alignment horizontal="right"/>
    </xf>
    <xf numFmtId="0" fontId="22" fillId="0" borderId="0" xfId="0" applyFont="1" applyAlignment="1" applyProtection="1">
      <alignment vertical="center"/>
      <protection locked="0"/>
    </xf>
    <xf numFmtId="0" fontId="14" fillId="3" borderId="16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2" fillId="0" borderId="4" xfId="0" applyFont="1" applyBorder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35" xfId="0" applyFont="1" applyBorder="1" applyAlignment="1" applyProtection="1">
      <alignment horizontal="left" vertical="center" indent="1"/>
      <protection locked="0"/>
    </xf>
    <xf numFmtId="2" fontId="19" fillId="0" borderId="8" xfId="0" applyNumberFormat="1" applyFont="1" applyBorder="1" applyAlignment="1">
      <alignment horizontal="left"/>
    </xf>
    <xf numFmtId="2" fontId="0" fillId="0" borderId="8" xfId="0" applyNumberFormat="1" applyBorder="1" applyAlignment="1">
      <alignment horizontal="left"/>
    </xf>
    <xf numFmtId="2" fontId="0" fillId="0" borderId="8" xfId="0" applyNumberFormat="1" applyBorder="1"/>
    <xf numFmtId="0" fontId="23" fillId="0" borderId="0" xfId="0" applyFont="1" applyAlignment="1">
      <alignment vertical="center"/>
    </xf>
    <xf numFmtId="0" fontId="1" fillId="0" borderId="4" xfId="0" applyFont="1" applyBorder="1" applyAlignment="1" applyProtection="1">
      <alignment horizontal="left" vertical="center" indent="1"/>
      <protection locked="0"/>
    </xf>
    <xf numFmtId="0" fontId="24" fillId="0" borderId="0" xfId="0" applyFont="1" applyAlignment="1" applyProtection="1">
      <alignment vertical="center"/>
      <protection locked="0"/>
    </xf>
    <xf numFmtId="0" fontId="12" fillId="0" borderId="35" xfId="0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0" borderId="36" xfId="0" applyBorder="1"/>
    <xf numFmtId="0" fontId="0" fillId="0" borderId="37" xfId="0" applyBorder="1"/>
    <xf numFmtId="0" fontId="0" fillId="4" borderId="0" xfId="0" applyFill="1"/>
    <xf numFmtId="14" fontId="0" fillId="4" borderId="0" xfId="0" applyNumberFormat="1" applyFill="1"/>
    <xf numFmtId="17" fontId="0" fillId="4" borderId="0" xfId="0" applyNumberFormat="1" applyFill="1"/>
    <xf numFmtId="14" fontId="0" fillId="0" borderId="0" xfId="0" applyNumberFormat="1"/>
    <xf numFmtId="17" fontId="0" fillId="0" borderId="0" xfId="0" applyNumberFormat="1"/>
    <xf numFmtId="0" fontId="0" fillId="4" borderId="36" xfId="0" applyFill="1" applyBorder="1"/>
    <xf numFmtId="14" fontId="0" fillId="4" borderId="36" xfId="0" applyNumberFormat="1" applyFill="1" applyBorder="1"/>
    <xf numFmtId="0" fontId="0" fillId="0" borderId="31" xfId="0" applyBorder="1"/>
    <xf numFmtId="14" fontId="0" fillId="0" borderId="31" xfId="0" applyNumberFormat="1" applyBorder="1"/>
    <xf numFmtId="17" fontId="0" fillId="0" borderId="31" xfId="0" applyNumberFormat="1" applyBorder="1"/>
    <xf numFmtId="0" fontId="0" fillId="0" borderId="26" xfId="0" applyBorder="1"/>
    <xf numFmtId="14" fontId="0" fillId="0" borderId="26" xfId="0" applyNumberFormat="1" applyBorder="1"/>
    <xf numFmtId="17" fontId="0" fillId="0" borderId="26" xfId="0" applyNumberFormat="1" applyBorder="1"/>
    <xf numFmtId="14" fontId="0" fillId="0" borderId="36" xfId="0" applyNumberFormat="1" applyBorder="1"/>
    <xf numFmtId="0" fontId="0" fillId="4" borderId="31" xfId="0" applyFill="1" applyBorder="1"/>
    <xf numFmtId="14" fontId="0" fillId="4" borderId="31" xfId="0" applyNumberFormat="1" applyFill="1" applyBorder="1"/>
    <xf numFmtId="17" fontId="0" fillId="4" borderId="31" xfId="0" applyNumberFormat="1" applyFill="1" applyBorder="1"/>
    <xf numFmtId="0" fontId="26" fillId="0" borderId="36" xfId="0" applyFont="1" applyBorder="1"/>
    <xf numFmtId="17" fontId="0" fillId="0" borderId="36" xfId="0" applyNumberFormat="1" applyBorder="1"/>
    <xf numFmtId="0" fontId="0" fillId="0" borderId="23" xfId="0" applyBorder="1"/>
    <xf numFmtId="14" fontId="0" fillId="0" borderId="23" xfId="0" applyNumberFormat="1" applyBorder="1"/>
    <xf numFmtId="17" fontId="0" fillId="0" borderId="23" xfId="0" applyNumberFormat="1" applyBorder="1"/>
    <xf numFmtId="17" fontId="0" fillId="4" borderId="36" xfId="0" applyNumberFormat="1" applyFill="1" applyBorder="1"/>
    <xf numFmtId="0" fontId="27" fillId="0" borderId="0" xfId="0" applyFont="1"/>
    <xf numFmtId="14" fontId="0" fillId="4" borderId="23" xfId="0" applyNumberFormat="1" applyFill="1" applyBorder="1"/>
    <xf numFmtId="0" fontId="0" fillId="0" borderId="38" xfId="0" applyBorder="1"/>
    <xf numFmtId="14" fontId="0" fillId="0" borderId="38" xfId="0" applyNumberFormat="1" applyBorder="1"/>
    <xf numFmtId="0" fontId="27" fillId="0" borderId="26" xfId="0" applyFont="1" applyBorder="1"/>
    <xf numFmtId="0" fontId="0" fillId="4" borderId="37" xfId="0" applyFill="1" applyBorder="1"/>
    <xf numFmtId="0" fontId="12" fillId="0" borderId="36" xfId="0" applyFont="1" applyBorder="1" applyAlignment="1" applyProtection="1">
      <alignment vertical="center"/>
      <protection locked="0"/>
    </xf>
    <xf numFmtId="0" fontId="26" fillId="0" borderId="31" xfId="0" applyFont="1" applyBorder="1"/>
    <xf numFmtId="0" fontId="26" fillId="4" borderId="0" xfId="0" applyFont="1" applyFill="1"/>
    <xf numFmtId="0" fontId="1" fillId="4" borderId="36" xfId="0" applyFont="1" applyFill="1" applyBorder="1"/>
    <xf numFmtId="0" fontId="0" fillId="5" borderId="23" xfId="0" applyFill="1" applyBorder="1"/>
    <xf numFmtId="14" fontId="0" fillId="5" borderId="23" xfId="0" applyNumberFormat="1" applyFill="1" applyBorder="1"/>
    <xf numFmtId="0" fontId="0" fillId="5" borderId="36" xfId="0" applyFill="1" applyBorder="1"/>
    <xf numFmtId="14" fontId="0" fillId="5" borderId="36" xfId="0" applyNumberFormat="1" applyFill="1" applyBorder="1"/>
    <xf numFmtId="0" fontId="0" fillId="4" borderId="23" xfId="0" applyFill="1" applyBorder="1"/>
    <xf numFmtId="14" fontId="0" fillId="4" borderId="37" xfId="0" applyNumberFormat="1" applyFill="1" applyBorder="1"/>
    <xf numFmtId="0" fontId="12" fillId="4" borderId="23" xfId="0" applyFont="1" applyFill="1" applyBorder="1" applyAlignment="1" applyProtection="1">
      <alignment vertical="center"/>
      <protection locked="0"/>
    </xf>
    <xf numFmtId="0" fontId="1" fillId="0" borderId="36" xfId="0" applyFont="1" applyBorder="1"/>
    <xf numFmtId="0" fontId="1" fillId="0" borderId="31" xfId="0" applyFont="1" applyBorder="1"/>
    <xf numFmtId="17" fontId="0" fillId="4" borderId="23" xfId="0" applyNumberFormat="1" applyFill="1" applyBorder="1"/>
    <xf numFmtId="0" fontId="26" fillId="4" borderId="36" xfId="0" applyFont="1" applyFill="1" applyBorder="1"/>
    <xf numFmtId="0" fontId="12" fillId="4" borderId="36" xfId="0" applyFont="1" applyFill="1" applyBorder="1" applyAlignment="1" applyProtection="1">
      <alignment vertical="center"/>
      <protection locked="0"/>
    </xf>
    <xf numFmtId="0" fontId="1" fillId="4" borderId="31" xfId="0" applyFont="1" applyFill="1" applyBorder="1"/>
    <xf numFmtId="0" fontId="0" fillId="4" borderId="26" xfId="0" applyFill="1" applyBorder="1"/>
    <xf numFmtId="17" fontId="0" fillId="4" borderId="26" xfId="0" applyNumberFormat="1" applyFill="1" applyBorder="1"/>
    <xf numFmtId="0" fontId="7" fillId="0" borderId="36" xfId="0" applyFont="1" applyBorder="1" applyAlignment="1" applyProtection="1">
      <alignment vertical="center"/>
      <protection locked="0"/>
    </xf>
    <xf numFmtId="0" fontId="7" fillId="4" borderId="36" xfId="0" applyFont="1" applyFill="1" applyBorder="1" applyAlignment="1" applyProtection="1">
      <alignment vertical="center"/>
      <protection locked="0"/>
    </xf>
    <xf numFmtId="0" fontId="0" fillId="6" borderId="36" xfId="0" applyFill="1" applyBorder="1"/>
    <xf numFmtId="14" fontId="0" fillId="6" borderId="36" xfId="0" applyNumberFormat="1" applyFill="1" applyBorder="1"/>
    <xf numFmtId="17" fontId="0" fillId="6" borderId="36" xfId="0" applyNumberFormat="1" applyFill="1" applyBorder="1"/>
    <xf numFmtId="14" fontId="0" fillId="6" borderId="37" xfId="0" applyNumberFormat="1" applyFill="1" applyBorder="1"/>
    <xf numFmtId="0" fontId="1" fillId="4" borderId="26" xfId="0" applyFont="1" applyFill="1" applyBorder="1"/>
    <xf numFmtId="0" fontId="27" fillId="0" borderId="23" xfId="0" applyFont="1" applyBorder="1"/>
    <xf numFmtId="0" fontId="12" fillId="0" borderId="23" xfId="0" applyFont="1" applyBorder="1" applyAlignment="1" applyProtection="1">
      <alignment vertical="center"/>
      <protection locked="0"/>
    </xf>
    <xf numFmtId="0" fontId="0" fillId="0" borderId="39" xfId="0" applyBorder="1"/>
    <xf numFmtId="0" fontId="0" fillId="4" borderId="39" xfId="0" applyFill="1" applyBorder="1"/>
    <xf numFmtId="0" fontId="0" fillId="0" borderId="21" xfId="0" applyBorder="1"/>
    <xf numFmtId="0" fontId="27" fillId="0" borderId="36" xfId="0" applyFont="1" applyBorder="1"/>
    <xf numFmtId="0" fontId="0" fillId="7" borderId="36" xfId="0" applyFill="1" applyBorder="1"/>
    <xf numFmtId="0" fontId="27" fillId="4" borderId="36" xfId="0" applyFont="1" applyFill="1" applyBorder="1"/>
    <xf numFmtId="14" fontId="0" fillId="0" borderId="29" xfId="0" applyNumberFormat="1" applyBorder="1"/>
    <xf numFmtId="0" fontId="28" fillId="0" borderId="36" xfId="0" applyFont="1" applyBorder="1"/>
    <xf numFmtId="14" fontId="28" fillId="0" borderId="29" xfId="0" applyNumberFormat="1" applyFont="1" applyBorder="1"/>
    <xf numFmtId="14" fontId="28" fillId="0" borderId="36" xfId="0" applyNumberFormat="1" applyFont="1" applyBorder="1"/>
    <xf numFmtId="17" fontId="0" fillId="0" borderId="39" xfId="0" applyNumberFormat="1" applyBorder="1"/>
    <xf numFmtId="0" fontId="0" fillId="8" borderId="36" xfId="0" applyFill="1" applyBorder="1"/>
    <xf numFmtId="14" fontId="0" fillId="8" borderId="36" xfId="0" applyNumberFormat="1" applyFill="1" applyBorder="1"/>
    <xf numFmtId="166" fontId="0" fillId="0" borderId="38" xfId="0" applyNumberFormat="1" applyBorder="1"/>
    <xf numFmtId="0" fontId="7" fillId="0" borderId="38" xfId="0" applyFont="1" applyBorder="1" applyAlignment="1" applyProtection="1">
      <alignment vertical="center"/>
      <protection locked="0"/>
    </xf>
    <xf numFmtId="166" fontId="0" fillId="0" borderId="0" xfId="0" applyNumberFormat="1"/>
    <xf numFmtId="0" fontId="1" fillId="0" borderId="38" xfId="0" applyFont="1" applyBorder="1"/>
    <xf numFmtId="0" fontId="0" fillId="0" borderId="40" xfId="4" applyFont="1" applyBorder="1"/>
    <xf numFmtId="0" fontId="0" fillId="0" borderId="41" xfId="5" applyFont="1" applyBorder="1"/>
    <xf numFmtId="0" fontId="31" fillId="0" borderId="42" xfId="4" applyBorder="1"/>
    <xf numFmtId="0" fontId="31" fillId="0" borderId="43" xfId="4" applyBorder="1"/>
    <xf numFmtId="0" fontId="0" fillId="0" borderId="44" xfId="5" applyFont="1" applyBorder="1"/>
    <xf numFmtId="0" fontId="0" fillId="0" borderId="45" xfId="3" applyFont="1" applyBorder="1">
      <alignment horizontal="left"/>
    </xf>
    <xf numFmtId="0" fontId="0" fillId="0" borderId="29" xfId="3" applyFont="1" applyBorder="1">
      <alignment horizontal="left"/>
    </xf>
    <xf numFmtId="0" fontId="1" fillId="0" borderId="46" xfId="7" applyBorder="1">
      <alignment horizontal="left"/>
    </xf>
    <xf numFmtId="0" fontId="0" fillId="0" borderId="47" xfId="3" applyFont="1" applyBorder="1">
      <alignment horizontal="left"/>
    </xf>
    <xf numFmtId="0" fontId="31" fillId="0" borderId="48" xfId="8" applyBorder="1"/>
    <xf numFmtId="0" fontId="31" fillId="0" borderId="21" xfId="8" applyBorder="1"/>
    <xf numFmtId="0" fontId="31" fillId="0" borderId="22" xfId="8" applyBorder="1"/>
    <xf numFmtId="0" fontId="1" fillId="0" borderId="49" xfId="6" applyBorder="1"/>
    <xf numFmtId="0" fontId="0" fillId="0" borderId="50" xfId="3" applyFont="1" applyBorder="1">
      <alignment horizontal="left"/>
    </xf>
    <xf numFmtId="0" fontId="31" fillId="0" borderId="35" xfId="8" applyBorder="1"/>
    <xf numFmtId="0" fontId="31" fillId="0" borderId="0" xfId="8"/>
    <xf numFmtId="0" fontId="31" fillId="0" borderId="25" xfId="8" applyBorder="1"/>
    <xf numFmtId="0" fontId="1" fillId="0" borderId="51" xfId="6" applyBorder="1"/>
    <xf numFmtId="0" fontId="31" fillId="0" borderId="45" xfId="8" applyBorder="1"/>
    <xf numFmtId="0" fontId="31" fillId="0" borderId="29" xfId="8" applyBorder="1"/>
    <xf numFmtId="0" fontId="31" fillId="0" borderId="30" xfId="8" applyBorder="1"/>
    <xf numFmtId="0" fontId="1" fillId="0" borderId="52" xfId="6" applyBorder="1"/>
    <xf numFmtId="0" fontId="1" fillId="0" borderId="53" xfId="7" applyBorder="1">
      <alignment horizontal="left"/>
    </xf>
    <xf numFmtId="0" fontId="1" fillId="0" borderId="54" xfId="6" applyBorder="1"/>
    <xf numFmtId="0" fontId="1" fillId="0" borderId="55" xfId="6" applyBorder="1"/>
    <xf numFmtId="0" fontId="1" fillId="0" borderId="56" xfId="6" applyBorder="1"/>
    <xf numFmtId="0" fontId="1" fillId="0" borderId="57" xfId="6" applyBorder="1"/>
    <xf numFmtId="0" fontId="29" fillId="9" borderId="36" xfId="0" applyFont="1" applyFill="1" applyBorder="1"/>
    <xf numFmtId="0" fontId="29" fillId="9" borderId="0" xfId="0" applyFont="1" applyFill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7" fillId="0" borderId="0" xfId="0" applyFont="1" applyAlignment="1" applyProtection="1">
      <alignment vertical="center" wrapText="1"/>
      <protection locked="0"/>
    </xf>
    <xf numFmtId="0" fontId="30" fillId="10" borderId="15" xfId="0" applyFont="1" applyFill="1" applyBorder="1"/>
    <xf numFmtId="0" fontId="30" fillId="10" borderId="16" xfId="0" applyFont="1" applyFill="1" applyBorder="1"/>
    <xf numFmtId="0" fontId="29" fillId="9" borderId="58" xfId="0" applyFont="1" applyFill="1" applyBorder="1"/>
    <xf numFmtId="0" fontId="29" fillId="9" borderId="59" xfId="0" applyFont="1" applyFill="1" applyBorder="1"/>
    <xf numFmtId="0" fontId="1" fillId="6" borderId="59" xfId="0" applyFont="1" applyFill="1" applyBorder="1"/>
    <xf numFmtId="0" fontId="1" fillId="6" borderId="16" xfId="0" applyFont="1" applyFill="1" applyBorder="1" applyAlignment="1">
      <alignment horizontal="left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0" xfId="0" quotePrefix="1"/>
    <xf numFmtId="0" fontId="32" fillId="0" borderId="0" xfId="0" applyFont="1"/>
    <xf numFmtId="166" fontId="0" fillId="0" borderId="38" xfId="0" quotePrefix="1" applyNumberFormat="1" applyBorder="1"/>
    <xf numFmtId="0" fontId="0" fillId="0" borderId="63" xfId="0" applyBorder="1"/>
    <xf numFmtId="0" fontId="0" fillId="0" borderId="63" xfId="0" quotePrefix="1" applyBorder="1"/>
    <xf numFmtId="0" fontId="0" fillId="0" borderId="60" xfId="0" applyBorder="1" applyAlignment="1">
      <alignment wrapText="1"/>
    </xf>
    <xf numFmtId="0" fontId="7" fillId="0" borderId="0" xfId="0" applyFon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7" fillId="0" borderId="0" xfId="0" applyFont="1" applyAlignment="1" applyProtection="1">
      <alignment horizontal="left" vertical="center" indent="1"/>
      <protection locked="0"/>
    </xf>
    <xf numFmtId="0" fontId="0" fillId="0" borderId="36" xfId="0" applyBorder="1" applyAlignment="1">
      <alignment vertical="top" wrapText="1"/>
    </xf>
    <xf numFmtId="0" fontId="0" fillId="0" borderId="36" xfId="0" applyBorder="1" applyAlignment="1">
      <alignment vertical="center"/>
    </xf>
    <xf numFmtId="0" fontId="0" fillId="0" borderId="36" xfId="0" applyBorder="1" applyAlignment="1">
      <alignment horizontal="center" vertical="top" wrapText="1"/>
    </xf>
    <xf numFmtId="0" fontId="28" fillId="11" borderId="0" xfId="0" applyFont="1" applyFill="1"/>
    <xf numFmtId="14" fontId="7" fillId="0" borderId="36" xfId="0" applyNumberFormat="1" applyFont="1" applyBorder="1" applyAlignment="1" applyProtection="1">
      <alignment horizontal="center" vertical="center"/>
      <protection locked="0"/>
    </xf>
    <xf numFmtId="167" fontId="13" fillId="0" borderId="34" xfId="1" applyNumberFormat="1" applyFont="1" applyBorder="1" applyAlignment="1" applyProtection="1">
      <alignment vertical="center"/>
    </xf>
    <xf numFmtId="0" fontId="34" fillId="0" borderId="38" xfId="0" applyFont="1" applyBorder="1"/>
    <xf numFmtId="0" fontId="34" fillId="0" borderId="36" xfId="0" applyFont="1" applyBorder="1"/>
    <xf numFmtId="0" fontId="0" fillId="11" borderId="0" xfId="0" applyFill="1"/>
    <xf numFmtId="0" fontId="34" fillId="0" borderId="0" xfId="0" applyFont="1" applyAlignment="1" applyProtection="1">
      <alignment vertical="center" shrinkToFit="1"/>
      <protection locked="0"/>
    </xf>
    <xf numFmtId="0" fontId="35" fillId="0" borderId="0" xfId="0" applyFont="1" applyAlignment="1">
      <alignment vertical="center"/>
    </xf>
    <xf numFmtId="17" fontId="0" fillId="0" borderId="0" xfId="0" quotePrefix="1" applyNumberFormat="1"/>
    <xf numFmtId="0" fontId="34" fillId="0" borderId="0" xfId="0" applyFont="1" applyAlignment="1" applyProtection="1">
      <alignment vertical="center"/>
      <protection locked="0"/>
    </xf>
    <xf numFmtId="167" fontId="33" fillId="0" borderId="0" xfId="0" applyNumberFormat="1" applyFont="1" applyAlignment="1" applyProtection="1">
      <alignment vertical="center"/>
      <protection locked="0"/>
    </xf>
    <xf numFmtId="0" fontId="0" fillId="0" borderId="38" xfId="0" quotePrefix="1" applyBorder="1"/>
    <xf numFmtId="0" fontId="35" fillId="0" borderId="7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5" fillId="0" borderId="12" xfId="0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vertical="center"/>
      <protection locked="0"/>
    </xf>
    <xf numFmtId="0" fontId="35" fillId="0" borderId="64" xfId="0" applyFont="1" applyBorder="1" applyAlignment="1" applyProtection="1">
      <alignment vertical="center"/>
      <protection locked="0"/>
    </xf>
    <xf numFmtId="0" fontId="7" fillId="0" borderId="65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7" fillId="0" borderId="41" xfId="0" applyFont="1" applyBorder="1" applyAlignment="1" applyProtection="1">
      <alignment vertical="center"/>
      <protection locked="0"/>
    </xf>
    <xf numFmtId="0" fontId="7" fillId="0" borderId="67" xfId="0" applyFont="1" applyBorder="1" applyAlignment="1" applyProtection="1">
      <alignment vertical="center"/>
      <protection locked="0"/>
    </xf>
    <xf numFmtId="0" fontId="7" fillId="0" borderId="68" xfId="0" applyFont="1" applyBorder="1" applyAlignment="1" applyProtection="1">
      <alignment vertical="center"/>
      <protection locked="0"/>
    </xf>
    <xf numFmtId="0" fontId="7" fillId="0" borderId="57" xfId="0" applyFont="1" applyBorder="1" applyAlignment="1" applyProtection="1">
      <alignment vertical="center"/>
      <protection locked="0"/>
    </xf>
    <xf numFmtId="0" fontId="38" fillId="0" borderId="24" xfId="0" applyFont="1" applyBorder="1" applyAlignment="1" applyProtection="1">
      <alignment horizontal="left" vertical="center" indent="1"/>
      <protection locked="0"/>
    </xf>
    <xf numFmtId="0" fontId="39" fillId="0" borderId="0" xfId="0" applyFont="1" applyAlignment="1" applyProtection="1">
      <alignment vertical="center"/>
      <protection locked="0"/>
    </xf>
    <xf numFmtId="0" fontId="16" fillId="0" borderId="2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left" vertical="center" indent="1"/>
    </xf>
    <xf numFmtId="0" fontId="15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 indent="1"/>
    </xf>
    <xf numFmtId="0" fontId="15" fillId="0" borderId="32" xfId="0" applyFont="1" applyBorder="1" applyAlignment="1">
      <alignment horizontal="center" vertical="center"/>
    </xf>
    <xf numFmtId="0" fontId="16" fillId="0" borderId="33" xfId="0" applyFont="1" applyBorder="1" applyAlignment="1">
      <alignment horizontal="left" vertical="center" indent="1"/>
    </xf>
    <xf numFmtId="0" fontId="0" fillId="0" borderId="0" xfId="0" applyAlignment="1" applyProtection="1">
      <alignment horizontal="left" vertical="center" shrinkToFit="1"/>
      <protection locked="0"/>
    </xf>
  </cellXfs>
  <cellStyles count="9">
    <cellStyle name="Comma" xfId="1" builtinId="3"/>
    <cellStyle name="Hyperlink" xfId="2" builtinId="8"/>
    <cellStyle name="Normal" xfId="0" builtinId="0"/>
    <cellStyle name="Pivot Table Category" xfId="3" xr:uid="{00000000-0005-0000-0000-000006000000}"/>
    <cellStyle name="Pivot Table Corner" xfId="4" xr:uid="{00000000-0005-0000-0000-000007000000}"/>
    <cellStyle name="Pivot Table Field" xfId="5" xr:uid="{00000000-0005-0000-0000-000008000000}"/>
    <cellStyle name="Pivot Table Result" xfId="6" xr:uid="{00000000-0005-0000-0000-000009000000}"/>
    <cellStyle name="Pivot Table Title" xfId="7" xr:uid="{00000000-0005-0000-0000-00000A000000}"/>
    <cellStyle name="Pivot Table Value" xfId="8" xr:uid="{00000000-0005-0000-0000-00000B000000}"/>
  </cellStyles>
  <dxfs count="1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BF0041"/>
      <rgbColor rgb="FF008080"/>
      <rgbColor rgb="FFDBDBDB"/>
      <rgbColor rgb="FF808080"/>
      <rgbColor rgb="FF8394C9"/>
      <rgbColor rgb="FF993366"/>
      <rgbColor rgb="FFFFFFCC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2D050"/>
      <rgbColor rgb="FFFF99CC"/>
      <rgbColor rgb="FFCC99FF"/>
      <rgbColor rgb="FFFFC7CE"/>
      <rgbColor rgb="FF3366FF"/>
      <rgbColor rgb="FF33CCCC"/>
      <rgbColor rgb="FF81D41A"/>
      <rgbColor rgb="FFFFC000"/>
      <rgbColor rgb="FFFFBF00"/>
      <rgbColor rgb="FFFF6600"/>
      <rgbColor rgb="FF666666"/>
      <rgbColor rgb="FF949494"/>
      <rgbColor rgb="FF424242"/>
      <rgbColor rgb="FF339966"/>
      <rgbColor rgb="FF003300"/>
      <rgbColor rgb="FF222222"/>
      <rgbColor rgb="FF993300"/>
      <rgbColor rgb="FF993366"/>
      <rgbColor rgb="FF3B4E87"/>
      <rgbColor rgb="FF3A3A3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1158240</xdr:colOff>
      <xdr:row>34</xdr:row>
      <xdr:rowOff>152400</xdr:rowOff>
    </xdr:from>
    <xdr:to>
      <xdr:col>7</xdr:col>
      <xdr:colOff>1292860</xdr:colOff>
      <xdr:row>36</xdr:row>
      <xdr:rowOff>185962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B5C8314-467D-4D23-81A4-CFD5430F5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7720" y="7033260"/>
          <a:ext cx="1811020" cy="5822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365760</xdr:colOff>
      <xdr:row>7</xdr:row>
      <xdr:rowOff>152400</xdr:rowOff>
    </xdr:to>
    <xdr:sp macro="" textlink="">
      <xdr:nvSpPr>
        <xdr:cNvPr id="1025" name="AutoShape 1" descr="image.png">
          <a:extLst>
            <a:ext uri="{FF2B5EF4-FFF2-40B4-BE49-F238E27FC236}">
              <a16:creationId xmlns:a16="http://schemas.microsoft.com/office/drawing/2014/main" id="{BD69141B-2563-4DF6-86D9-D39E10B83A62}"/>
            </a:ext>
          </a:extLst>
        </xdr:cNvPr>
        <xdr:cNvSpPr>
          <a:spLocks noChangeAspect="1" noChangeArrowheads="1"/>
        </xdr:cNvSpPr>
      </xdr:nvSpPr>
      <xdr:spPr bwMode="auto">
        <a:xfrm>
          <a:off x="3078480" y="1478280"/>
          <a:ext cx="36576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172800</xdr:colOff>
      <xdr:row>36</xdr:row>
      <xdr:rowOff>82080</xdr:rowOff>
    </xdr:from>
    <xdr:to>
      <xdr:col>2</xdr:col>
      <xdr:colOff>608040</xdr:colOff>
      <xdr:row>41</xdr:row>
      <xdr:rowOff>127800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72800" y="7576200"/>
          <a:ext cx="1920960" cy="1119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605220</xdr:colOff>
      <xdr:row>32</xdr:row>
      <xdr:rowOff>43680</xdr:rowOff>
    </xdr:from>
    <xdr:to>
      <xdr:col>7</xdr:col>
      <xdr:colOff>1321920</xdr:colOff>
      <xdr:row>34</xdr:row>
      <xdr:rowOff>143760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918140" y="6634980"/>
          <a:ext cx="1410120" cy="8011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43"/>
  <sheetViews>
    <sheetView showGridLines="0" zoomScaleNormal="100" workbookViewId="0">
      <selection activeCell="K23" sqref="K23"/>
    </sheetView>
  </sheetViews>
  <sheetFormatPr defaultColWidth="8.69921875" defaultRowHeight="13.8"/>
  <cols>
    <col min="1" max="1" width="6.59765625" customWidth="1"/>
    <col min="2" max="2" width="9" customWidth="1"/>
    <col min="3" max="3" width="15.59765625" customWidth="1"/>
    <col min="4" max="4" width="6.59765625" customWidth="1"/>
    <col min="5" max="5" width="2.59765625" customWidth="1"/>
    <col min="6" max="6" width="5" customWidth="1"/>
    <col min="7" max="7" width="22" customWidth="1"/>
    <col min="8" max="8" width="19.796875" customWidth="1"/>
  </cols>
  <sheetData>
    <row r="1" spans="1:8" ht="36.6">
      <c r="A1" s="1" t="s">
        <v>0</v>
      </c>
      <c r="B1" s="2"/>
      <c r="C1" s="2"/>
      <c r="D1" s="2"/>
      <c r="E1" s="3"/>
      <c r="G1" s="4"/>
      <c r="H1" s="5" t="s">
        <v>1</v>
      </c>
    </row>
    <row r="2" spans="1:8">
      <c r="A2" s="6" t="s">
        <v>2</v>
      </c>
      <c r="B2" s="6"/>
      <c r="C2" s="6"/>
      <c r="D2" s="7"/>
      <c r="E2" s="6"/>
      <c r="F2" s="7"/>
      <c r="G2" s="8"/>
      <c r="H2" s="8"/>
    </row>
    <row r="3" spans="1:8">
      <c r="A3" s="6" t="s">
        <v>3</v>
      </c>
      <c r="B3" s="6"/>
      <c r="C3" s="6"/>
      <c r="D3" s="7"/>
      <c r="E3" s="6"/>
    </row>
    <row r="4" spans="1:8" ht="18" customHeight="1">
      <c r="A4" s="6" t="s">
        <v>4</v>
      </c>
      <c r="B4" s="11"/>
      <c r="C4" s="11"/>
      <c r="D4" s="7"/>
      <c r="E4" s="6"/>
      <c r="F4" s="242" t="s">
        <v>5</v>
      </c>
      <c r="G4" s="242"/>
      <c r="H4" s="12" t="s">
        <v>6</v>
      </c>
    </row>
    <row r="5" spans="1:8" ht="18" customHeight="1">
      <c r="A5" s="223" t="s">
        <v>431</v>
      </c>
      <c r="B5" s="7"/>
      <c r="C5" s="7"/>
      <c r="D5" s="7"/>
      <c r="E5" s="6"/>
      <c r="F5" s="243">
        <v>165</v>
      </c>
      <c r="G5" s="243"/>
      <c r="H5" s="13">
        <f>VLOOKUP(F5,'Bills List'!B:H,3,0)</f>
        <v>45366</v>
      </c>
    </row>
    <row r="6" spans="1:8">
      <c r="A6" s="6"/>
      <c r="B6" s="6"/>
      <c r="C6" s="6"/>
      <c r="D6" s="6"/>
      <c r="E6" s="7"/>
      <c r="F6" s="7"/>
      <c r="G6" s="7"/>
      <c r="H6" s="7"/>
    </row>
    <row r="7" spans="1:8">
      <c r="A7" s="6"/>
      <c r="B7" s="6"/>
      <c r="C7" s="6"/>
      <c r="D7" s="6"/>
      <c r="E7" s="7"/>
      <c r="G7" s="7"/>
      <c r="H7" s="7"/>
    </row>
    <row r="8" spans="1:8">
      <c r="A8" s="7"/>
      <c r="B8" s="7"/>
      <c r="C8" s="7"/>
      <c r="D8" s="7"/>
      <c r="E8" s="7"/>
      <c r="F8" s="7"/>
      <c r="G8" s="7"/>
      <c r="H8" s="7"/>
    </row>
    <row r="9" spans="1:8" ht="20.100000000000001" customHeight="1">
      <c r="A9" s="244" t="s">
        <v>7</v>
      </c>
      <c r="B9" s="244"/>
      <c r="C9" s="244"/>
      <c r="D9" s="6"/>
      <c r="E9" s="7"/>
      <c r="F9" s="7"/>
      <c r="G9" s="7"/>
      <c r="H9" s="7"/>
    </row>
    <row r="10" spans="1:8">
      <c r="A10" s="16" t="str">
        <f>VLOOKUP(F5,'Bills List'!B:H,2,0)</f>
        <v>Ebixcash World Money Limited</v>
      </c>
      <c r="B10" s="6"/>
      <c r="C10" s="6"/>
      <c r="D10" s="6"/>
      <c r="E10" s="7"/>
      <c r="F10" s="7"/>
      <c r="G10" s="7"/>
      <c r="H10" s="7"/>
    </row>
    <row r="11" spans="1:8">
      <c r="A11" s="16" t="s">
        <v>8</v>
      </c>
      <c r="B11" s="6"/>
      <c r="C11" s="6"/>
      <c r="D11" s="6"/>
      <c r="E11" s="7"/>
      <c r="F11" s="7"/>
      <c r="G11" s="7"/>
      <c r="H11" s="7"/>
    </row>
    <row r="12" spans="1:8">
      <c r="A12" s="7"/>
      <c r="B12" s="7"/>
      <c r="C12" s="7"/>
      <c r="D12" s="7"/>
      <c r="E12" s="7"/>
      <c r="F12" s="7"/>
      <c r="G12" s="7"/>
      <c r="H12" s="7"/>
    </row>
    <row r="13" spans="1:8">
      <c r="A13" s="7"/>
      <c r="B13" s="7"/>
      <c r="C13" s="7"/>
      <c r="D13" s="7"/>
      <c r="E13" s="7"/>
    </row>
    <row r="14" spans="1:8">
      <c r="A14" s="6"/>
      <c r="B14" s="6"/>
      <c r="C14" s="6"/>
      <c r="D14" s="6"/>
      <c r="E14" s="7"/>
      <c r="F14" s="7"/>
      <c r="G14" s="7"/>
      <c r="H14" s="7"/>
    </row>
    <row r="15" spans="1:8" ht="20.100000000000001" customHeight="1">
      <c r="A15" s="17" t="s">
        <v>9</v>
      </c>
      <c r="B15" s="18"/>
      <c r="C15" s="18"/>
      <c r="D15" s="19"/>
      <c r="E15" s="19"/>
      <c r="F15" s="19"/>
      <c r="G15" s="19"/>
      <c r="H15" s="12" t="s">
        <v>10</v>
      </c>
    </row>
    <row r="16" spans="1:8">
      <c r="A16" s="20"/>
      <c r="B16" s="6"/>
      <c r="C16" s="6"/>
      <c r="D16" s="6"/>
      <c r="E16" s="6"/>
      <c r="F16" s="6"/>
      <c r="G16" s="6"/>
      <c r="H16" s="21"/>
    </row>
    <row r="17" spans="1:8" ht="15.6" customHeight="1">
      <c r="A17" s="20" t="s">
        <v>460</v>
      </c>
      <c r="B17" s="6"/>
      <c r="C17" s="22"/>
      <c r="D17" s="23"/>
      <c r="E17" s="6"/>
      <c r="F17" s="6"/>
      <c r="G17" s="6"/>
      <c r="H17" s="21"/>
    </row>
    <row r="18" spans="1:8">
      <c r="A18" s="24" t="s">
        <v>12</v>
      </c>
      <c r="B18" s="25"/>
      <c r="C18" s="16" t="str">
        <f>VLOOKUP(F5,'Bills List'!B:H,6,0)</f>
        <v>February 2024</v>
      </c>
      <c r="D18" s="23"/>
      <c r="E18" s="6"/>
      <c r="F18" s="6"/>
      <c r="G18" s="6"/>
      <c r="H18" s="21">
        <f>VLOOKUP(F5,'Bills List'!B:E,4,0)</f>
        <v>24012</v>
      </c>
    </row>
    <row r="19" spans="1:8" ht="14.4" thickBot="1">
      <c r="A19" s="20"/>
      <c r="B19" s="6"/>
      <c r="C19" s="16"/>
      <c r="D19" s="6"/>
      <c r="E19" s="6"/>
      <c r="F19" s="6"/>
      <c r="G19" s="6"/>
      <c r="H19" s="21"/>
    </row>
    <row r="20" spans="1:8">
      <c r="A20" s="20"/>
      <c r="B20" s="6"/>
      <c r="C20" s="228" t="s">
        <v>463</v>
      </c>
      <c r="D20" s="235" t="s">
        <v>465</v>
      </c>
      <c r="E20" s="229"/>
      <c r="F20" s="237">
        <v>1318</v>
      </c>
      <c r="G20" s="6"/>
      <c r="H20" s="21"/>
    </row>
    <row r="21" spans="1:8" ht="14.4" thickBot="1">
      <c r="A21" s="20"/>
      <c r="B21" s="6"/>
      <c r="C21" s="230"/>
      <c r="D21" s="236" t="s">
        <v>466</v>
      </c>
      <c r="E21" s="231"/>
      <c r="F21" s="238">
        <v>15</v>
      </c>
      <c r="G21" s="6"/>
      <c r="H21" s="21"/>
    </row>
    <row r="22" spans="1:8">
      <c r="A22" s="20"/>
      <c r="B22" s="6"/>
      <c r="C22" s="228" t="s">
        <v>464</v>
      </c>
      <c r="D22" s="235" t="s">
        <v>465</v>
      </c>
      <c r="E22" s="229"/>
      <c r="F22" s="237">
        <v>1</v>
      </c>
      <c r="G22" s="6"/>
      <c r="H22" s="21"/>
    </row>
    <row r="23" spans="1:8" ht="14.4" thickBot="1">
      <c r="A23" s="20"/>
      <c r="B23" s="6"/>
      <c r="C23" s="230"/>
      <c r="D23" s="236" t="s">
        <v>466</v>
      </c>
      <c r="E23" s="231"/>
      <c r="F23" s="238">
        <v>0</v>
      </c>
      <c r="G23" s="6"/>
      <c r="H23" s="21"/>
    </row>
    <row r="24" spans="1:8" ht="14.4" thickBot="1">
      <c r="A24" s="20"/>
      <c r="B24" s="6"/>
      <c r="C24" s="232" t="s">
        <v>467</v>
      </c>
      <c r="D24" s="233"/>
      <c r="E24" s="233"/>
      <c r="F24" s="234">
        <f>SUM(F20:F23)</f>
        <v>1334</v>
      </c>
      <c r="G24" s="6"/>
      <c r="H24" s="21"/>
    </row>
    <row r="25" spans="1:8">
      <c r="A25" s="20"/>
      <c r="B25" s="6"/>
      <c r="D25" s="6"/>
      <c r="E25" s="6"/>
      <c r="F25" s="6"/>
      <c r="G25" s="6"/>
      <c r="H25" s="21">
        <v>0</v>
      </c>
    </row>
    <row r="26" spans="1:8">
      <c r="A26" s="20"/>
      <c r="B26" s="6"/>
      <c r="C26" s="6"/>
      <c r="D26" s="6"/>
      <c r="E26" s="6"/>
      <c r="F26" s="6"/>
      <c r="G26" s="6"/>
      <c r="H26" s="21"/>
    </row>
    <row r="27" spans="1:8">
      <c r="A27" s="20"/>
      <c r="B27" s="6"/>
      <c r="C27" s="6"/>
      <c r="D27" s="6"/>
      <c r="E27" s="6"/>
      <c r="F27" s="6"/>
      <c r="G27" s="6"/>
      <c r="H27" s="21"/>
    </row>
    <row r="28" spans="1:8">
      <c r="A28" s="20"/>
      <c r="B28" s="6"/>
      <c r="C28" s="6"/>
      <c r="D28" s="6"/>
      <c r="E28" s="6"/>
      <c r="F28" s="6"/>
      <c r="G28" s="6"/>
      <c r="H28" s="21"/>
    </row>
    <row r="29" spans="1:8">
      <c r="A29" s="20"/>
      <c r="B29" s="6"/>
      <c r="C29" s="6"/>
      <c r="D29" s="6"/>
      <c r="E29" s="6"/>
      <c r="F29" s="6"/>
      <c r="G29" s="6"/>
      <c r="H29" s="21"/>
    </row>
    <row r="30" spans="1:8">
      <c r="A30" s="20"/>
      <c r="B30" s="6"/>
      <c r="C30" s="6"/>
      <c r="D30" s="6"/>
      <c r="E30" s="6"/>
      <c r="F30" s="6"/>
      <c r="G30" s="6"/>
      <c r="H30" s="21"/>
    </row>
    <row r="31" spans="1:8">
      <c r="A31" s="20"/>
      <c r="B31" s="6"/>
      <c r="C31" s="6"/>
      <c r="D31" s="6"/>
      <c r="E31" s="6"/>
      <c r="F31" s="6"/>
      <c r="G31" s="6"/>
      <c r="H31" s="21"/>
    </row>
    <row r="32" spans="1:8">
      <c r="A32" s="20"/>
      <c r="B32" s="6"/>
      <c r="C32" s="6"/>
      <c r="D32" s="6"/>
      <c r="E32" s="6"/>
      <c r="F32" s="6"/>
      <c r="G32" s="6"/>
      <c r="H32" s="21"/>
    </row>
    <row r="33" spans="1:8" s="27" customFormat="1" ht="27.9" customHeight="1">
      <c r="A33" s="245" t="s">
        <v>13</v>
      </c>
      <c r="B33" s="245"/>
      <c r="C33" s="245"/>
      <c r="D33" s="245"/>
      <c r="E33" s="245"/>
      <c r="F33" s="246" t="s">
        <v>14</v>
      </c>
      <c r="G33" s="246"/>
      <c r="H33" s="26">
        <f>SUM(H16:H32)</f>
        <v>24012</v>
      </c>
    </row>
    <row r="34" spans="1:8" ht="27.9" customHeight="1">
      <c r="A34" s="241" t="str">
        <f>SPELLNUMBER(H33)</f>
        <v xml:space="preserve">Rupees TwentyFour Thousand Twelve Only </v>
      </c>
      <c r="B34" s="241"/>
      <c r="C34" s="241"/>
      <c r="D34" s="241"/>
      <c r="E34" s="241"/>
      <c r="F34" s="241"/>
      <c r="G34" s="241"/>
      <c r="H34" s="26"/>
    </row>
    <row r="35" spans="1:8" ht="27.9" customHeight="1">
      <c r="A35" s="8"/>
      <c r="B35" s="8"/>
      <c r="C35" s="8"/>
      <c r="D35" s="8"/>
      <c r="E35" s="8"/>
      <c r="F35" s="28"/>
      <c r="G35" s="28"/>
      <c r="H35" s="29"/>
    </row>
    <row r="36" spans="1:8" ht="15.6">
      <c r="A36" s="30" t="s">
        <v>15</v>
      </c>
      <c r="B36" s="8"/>
      <c r="C36" s="8"/>
      <c r="D36" s="8"/>
      <c r="E36" s="8"/>
      <c r="F36" s="28"/>
      <c r="G36" s="28"/>
      <c r="H36" s="29"/>
    </row>
    <row r="37" spans="1:8" ht="16.2" thickBot="1">
      <c r="A37" s="30"/>
      <c r="B37" s="8"/>
      <c r="C37" s="8"/>
      <c r="D37" s="8"/>
      <c r="E37" s="8"/>
      <c r="F37" s="28"/>
      <c r="G37" s="28"/>
      <c r="H37" s="29"/>
    </row>
    <row r="38" spans="1:8">
      <c r="E38" s="31" t="s">
        <v>16</v>
      </c>
      <c r="F38" s="32"/>
      <c r="G38" s="33"/>
      <c r="H38" s="34"/>
    </row>
    <row r="39" spans="1:8">
      <c r="E39" s="35" t="s">
        <v>17</v>
      </c>
      <c r="F39" s="36"/>
      <c r="H39" s="37"/>
    </row>
    <row r="40" spans="1:8" ht="15">
      <c r="E40" s="38" t="s">
        <v>18</v>
      </c>
      <c r="F40" s="36"/>
      <c r="H40" s="37"/>
    </row>
    <row r="41" spans="1:8" ht="15">
      <c r="E41" s="38" t="s">
        <v>19</v>
      </c>
      <c r="F41" s="36"/>
      <c r="H41" s="37"/>
    </row>
    <row r="42" spans="1:8" ht="15">
      <c r="E42" s="38" t="s">
        <v>20</v>
      </c>
      <c r="F42" s="36"/>
      <c r="H42" s="37"/>
    </row>
    <row r="43" spans="1:8" ht="15.6" thickBot="1">
      <c r="E43" s="39"/>
      <c r="F43" s="40"/>
      <c r="G43" s="41"/>
      <c r="H43" s="42"/>
    </row>
  </sheetData>
  <mergeCells count="6">
    <mergeCell ref="A34:G34"/>
    <mergeCell ref="F4:G4"/>
    <mergeCell ref="F5:G5"/>
    <mergeCell ref="A9:C9"/>
    <mergeCell ref="A33:E33"/>
    <mergeCell ref="F33:G33"/>
  </mergeCells>
  <printOptions horizontalCentered="1"/>
  <pageMargins left="0.51181102362204722" right="0.51181102362204722" top="0.71" bottom="0.51181102362204722" header="0.51181102362204722" footer="0.23622047244094491"/>
  <pageSetup orientation="portrait" horizontalDpi="300" verticalDpi="300" r:id="rId1"/>
  <headerFooter>
    <oddHeader>&amp;C&amp;"+,Bold Italic"&amp;10&amp;KFF0000Jai Shree Ganesh</oddHeader>
    <oddFooter>&amp;L&amp;8&amp;K7a7a7aInvoice Template © 2014 Vertex42.com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3:Q43"/>
  <sheetViews>
    <sheetView showGridLines="0" tabSelected="1" topLeftCell="A10" zoomScaleNormal="100" workbookViewId="0">
      <selection activeCell="C22" sqref="C22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3" spans="1:10" ht="16.2" customHeight="1"/>
    <row r="4" spans="1:10" ht="10.8" customHeight="1"/>
    <row r="5" spans="1:10" ht="16.2" customHeight="1"/>
    <row r="6" spans="1:10" ht="25.2" customHeight="1"/>
    <row r="7" spans="1:10" ht="36.6">
      <c r="A7" s="1" t="s">
        <v>21</v>
      </c>
      <c r="B7" s="2"/>
      <c r="C7" s="2"/>
      <c r="D7" s="2"/>
      <c r="E7" s="3"/>
      <c r="G7" s="4"/>
      <c r="H7" s="5" t="s">
        <v>1</v>
      </c>
    </row>
    <row r="8" spans="1:10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0">
      <c r="A9" s="6" t="s">
        <v>23</v>
      </c>
      <c r="B9" s="6"/>
      <c r="C9" s="6"/>
      <c r="D9" s="7"/>
      <c r="E9" s="6"/>
      <c r="J9" s="10"/>
    </row>
    <row r="10" spans="1:10" ht="18" customHeight="1">
      <c r="A10" s="6" t="s">
        <v>24</v>
      </c>
      <c r="B10" s="11"/>
      <c r="C10" s="11"/>
      <c r="D10" s="7"/>
      <c r="E10" s="6"/>
      <c r="F10" s="242" t="s">
        <v>5</v>
      </c>
      <c r="G10" s="242"/>
      <c r="H10" s="48" t="s">
        <v>6</v>
      </c>
      <c r="J10" s="9"/>
    </row>
    <row r="11" spans="1:10" ht="18" customHeight="1">
      <c r="A11" s="7" t="s">
        <v>25</v>
      </c>
      <c r="B11" s="7"/>
      <c r="C11" s="7"/>
      <c r="D11" s="7"/>
      <c r="E11" s="6"/>
      <c r="F11" s="243">
        <v>2218</v>
      </c>
      <c r="G11" s="243"/>
      <c r="H11" s="217">
        <f>VLOOKUP(F11,'Bills List'!B:E,3,0)</f>
        <v>45380</v>
      </c>
      <c r="J11" s="14"/>
    </row>
    <row r="12" spans="1:10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0" ht="15.6">
      <c r="A13" s="43" t="s">
        <v>27</v>
      </c>
      <c r="B13" s="44"/>
      <c r="C13" s="6"/>
      <c r="D13" s="6"/>
      <c r="E13" s="7"/>
      <c r="F13" s="7"/>
      <c r="G13" s="7"/>
      <c r="H13" s="7"/>
      <c r="J13" s="15"/>
    </row>
    <row r="14" spans="1:10">
      <c r="A14" s="7"/>
      <c r="B14" s="7"/>
      <c r="C14" s="7"/>
      <c r="D14" s="7"/>
      <c r="E14" s="7"/>
      <c r="F14" s="7"/>
      <c r="G14" s="7"/>
      <c r="H14" s="7"/>
      <c r="J14" s="15"/>
    </row>
    <row r="15" spans="1:10" ht="20.100000000000001" customHeight="1">
      <c r="A15" s="244" t="s">
        <v>7</v>
      </c>
      <c r="B15" s="244"/>
      <c r="C15" s="244"/>
      <c r="D15" s="6"/>
      <c r="E15" s="7"/>
      <c r="F15" s="7"/>
      <c r="G15" s="7"/>
      <c r="H15" s="7"/>
      <c r="J15" s="15"/>
    </row>
    <row r="16" spans="1:10">
      <c r="A16" s="16" t="str">
        <f>VLOOKUP(F11,'Bills List'!B:H,2,0)</f>
        <v>GRROWWIDE BUSINESS ADVISORS PVT LTD</v>
      </c>
      <c r="B16" s="6"/>
      <c r="C16" s="6"/>
      <c r="D16" s="6"/>
      <c r="E16" s="7"/>
      <c r="F16" s="7"/>
      <c r="G16" s="7"/>
      <c r="H16" s="7"/>
      <c r="J16" s="15"/>
    </row>
    <row r="17" spans="1:17">
      <c r="A17" s="16" t="str">
        <f>VLOOKUP(F11,'Bills List'!B:H,5,0)</f>
        <v>Mumbai - 400066</v>
      </c>
      <c r="B17" s="6"/>
      <c r="C17" s="6"/>
      <c r="D17" s="6"/>
      <c r="E17" s="7"/>
      <c r="F17" s="7"/>
      <c r="G17" s="7"/>
      <c r="H17" s="7"/>
      <c r="J17" s="15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45" t="s">
        <v>9</v>
      </c>
      <c r="B19" s="46"/>
      <c r="C19" s="46"/>
      <c r="D19" s="47"/>
      <c r="E19" s="47"/>
      <c r="F19" s="47"/>
      <c r="G19" s="47"/>
      <c r="H19" s="48" t="s">
        <v>10</v>
      </c>
      <c r="J19" s="15"/>
    </row>
    <row r="20" spans="1:17">
      <c r="A20" s="49"/>
      <c r="B20" s="50"/>
      <c r="C20" s="50"/>
      <c r="D20" s="50"/>
      <c r="E20" s="50"/>
      <c r="F20" s="50"/>
      <c r="G20" s="51"/>
      <c r="H20" s="52"/>
      <c r="J20" s="14"/>
    </row>
    <row r="21" spans="1:17">
      <c r="A21" s="53" t="s">
        <v>11</v>
      </c>
      <c r="B21" s="6"/>
      <c r="C21" s="6"/>
      <c r="D21" s="6"/>
      <c r="E21" s="6"/>
      <c r="F21" s="6"/>
      <c r="G21" s="54"/>
      <c r="H21" s="55"/>
    </row>
    <row r="22" spans="1:17">
      <c r="A22" s="53" t="s">
        <v>12</v>
      </c>
      <c r="B22" s="6"/>
      <c r="C22" s="16" t="str">
        <f>VLOOKUP(F11,'Bills List'!B:H,6,0)</f>
        <v>January 2024 To March 2024</v>
      </c>
      <c r="D22" s="6"/>
      <c r="E22" s="226"/>
      <c r="F22" s="226"/>
      <c r="G22" s="56"/>
      <c r="H22" s="55">
        <f>VLOOKUP(F11,'Bills List'!B:E,4,0)</f>
        <v>43500</v>
      </c>
      <c r="J22" s="14"/>
    </row>
    <row r="23" spans="1:17">
      <c r="A23" s="57"/>
      <c r="B23" s="16"/>
      <c r="C23" s="6"/>
      <c r="H23" s="58"/>
      <c r="J23" s="14"/>
      <c r="L23" s="16" t="s">
        <v>28</v>
      </c>
      <c r="P23" s="59" t="s">
        <v>29</v>
      </c>
    </row>
    <row r="24" spans="1:17">
      <c r="A24" s="57"/>
      <c r="B24" s="16"/>
      <c r="C24" s="6"/>
      <c r="H24" s="55"/>
      <c r="J24" s="14"/>
      <c r="L24" s="16" t="s">
        <v>30</v>
      </c>
      <c r="P24" s="59" t="s">
        <v>31</v>
      </c>
    </row>
    <row r="25" spans="1:17">
      <c r="A25" s="57"/>
      <c r="B25" s="16"/>
      <c r="C25" s="6"/>
      <c r="H25" s="55"/>
      <c r="J25" s="15"/>
      <c r="L25" s="16" t="s">
        <v>32</v>
      </c>
      <c r="P25" s="59" t="s">
        <v>33</v>
      </c>
    </row>
    <row r="26" spans="1:17">
      <c r="A26" s="53"/>
      <c r="B26" s="16"/>
      <c r="C26" s="6"/>
      <c r="E26" s="60"/>
      <c r="H26" s="58"/>
      <c r="J26" s="15"/>
      <c r="L26" s="16" t="s">
        <v>34</v>
      </c>
      <c r="N26" s="60"/>
      <c r="O26" s="60"/>
      <c r="P26" s="59" t="s">
        <v>35</v>
      </c>
    </row>
    <row r="27" spans="1:17">
      <c r="A27" s="53"/>
      <c r="B27" s="6"/>
      <c r="C27" s="210"/>
      <c r="H27" s="55"/>
      <c r="J27" s="15"/>
      <c r="L27" s="16" t="s">
        <v>36</v>
      </c>
      <c r="P27" s="59" t="s">
        <v>37</v>
      </c>
    </row>
    <row r="28" spans="1:17">
      <c r="A28" s="61"/>
      <c r="C28" s="210"/>
      <c r="E28" s="6"/>
      <c r="H28" s="55"/>
      <c r="J28" s="15"/>
      <c r="L28" s="16" t="s">
        <v>38</v>
      </c>
      <c r="N28" s="60"/>
      <c r="O28" s="60"/>
      <c r="P28" s="59" t="s">
        <v>35</v>
      </c>
      <c r="Q28" s="62"/>
    </row>
    <row r="29" spans="1:17">
      <c r="B29" s="6"/>
      <c r="C29" s="6"/>
      <c r="E29" s="6"/>
      <c r="F29" s="6"/>
      <c r="H29" s="55"/>
      <c r="J29" s="15"/>
      <c r="L29" s="16"/>
      <c r="N29" s="60"/>
      <c r="O29" s="60"/>
      <c r="P29" s="63"/>
      <c r="Q29" s="62"/>
    </row>
    <row r="30" spans="1:17">
      <c r="A30" s="239" t="s">
        <v>39</v>
      </c>
      <c r="B30" s="6"/>
      <c r="C30" s="6"/>
      <c r="D30" s="6"/>
      <c r="E30" s="6"/>
      <c r="F30" s="6"/>
      <c r="G30" s="54"/>
      <c r="H30" s="55"/>
      <c r="J30" s="15"/>
      <c r="L30" s="16"/>
      <c r="N30" s="63"/>
      <c r="O30" s="63"/>
      <c r="P30" s="63"/>
      <c r="Q30" s="62"/>
    </row>
    <row r="31" spans="1:17">
      <c r="A31" s="64"/>
      <c r="B31" s="65"/>
      <c r="C31" s="65"/>
      <c r="D31" s="65"/>
      <c r="E31" s="65"/>
      <c r="F31" s="65"/>
      <c r="G31" s="66"/>
      <c r="H31" s="67"/>
      <c r="J31" s="15"/>
    </row>
    <row r="32" spans="1:17" s="27" customFormat="1" ht="27.9" customHeight="1">
      <c r="A32" s="247" t="s">
        <v>13</v>
      </c>
      <c r="B32" s="247"/>
      <c r="C32" s="247"/>
      <c r="D32" s="247"/>
      <c r="E32" s="247"/>
      <c r="F32" s="248" t="s">
        <v>14</v>
      </c>
      <c r="G32" s="248"/>
      <c r="H32" s="218">
        <f>SUM(H20:H31)</f>
        <v>43500</v>
      </c>
      <c r="J32" s="14"/>
      <c r="L32" s="16"/>
    </row>
    <row r="33" spans="1:10" ht="27.9" customHeight="1">
      <c r="A33" s="68" t="str">
        <f>SPELLNUMBER(H32)</f>
        <v xml:space="preserve">Rupees FourtyThree Thousand Five Hundred  Only </v>
      </c>
      <c r="B33" s="69"/>
      <c r="C33" s="70"/>
      <c r="D33" s="70"/>
      <c r="E33" s="70"/>
      <c r="F33" s="70"/>
      <c r="G33" s="70"/>
      <c r="H33" s="26"/>
      <c r="J33" s="14"/>
    </row>
    <row r="34" spans="1:10" ht="27.9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6.6" customHeight="1">
      <c r="A35" s="30"/>
      <c r="B35" s="8"/>
      <c r="C35" s="8"/>
      <c r="D35" s="8"/>
      <c r="E35" s="8"/>
      <c r="F35" s="28"/>
      <c r="G35" s="28"/>
      <c r="H35" s="29"/>
    </row>
    <row r="36" spans="1:10">
      <c r="E36" s="31" t="s">
        <v>16</v>
      </c>
      <c r="F36" s="32"/>
      <c r="G36" s="33"/>
      <c r="H36" s="34"/>
      <c r="I36" s="71"/>
      <c r="J36" s="71"/>
    </row>
    <row r="37" spans="1:10" ht="16.8" customHeight="1">
      <c r="E37" s="35" t="s">
        <v>40</v>
      </c>
      <c r="F37" s="36"/>
      <c r="H37" s="37"/>
      <c r="I37" s="71"/>
      <c r="J37" s="71"/>
    </row>
    <row r="38" spans="1:10" ht="18.600000000000001" customHeight="1">
      <c r="E38" s="38" t="s">
        <v>41</v>
      </c>
      <c r="F38" s="36"/>
      <c r="H38" s="37"/>
      <c r="I38" s="71"/>
      <c r="J38" s="71"/>
    </row>
    <row r="39" spans="1:10" ht="18.600000000000001" customHeight="1">
      <c r="E39" s="38" t="s">
        <v>42</v>
      </c>
      <c r="F39" s="36"/>
      <c r="H39" s="37"/>
      <c r="I39" s="71"/>
      <c r="J39" s="71"/>
    </row>
    <row r="40" spans="1:10" ht="15">
      <c r="E40" s="38" t="s">
        <v>43</v>
      </c>
      <c r="F40" s="36"/>
      <c r="H40" s="37"/>
      <c r="I40" s="71"/>
      <c r="J40" s="71"/>
    </row>
    <row r="41" spans="1:10" ht="15.6">
      <c r="E41" s="38" t="s">
        <v>44</v>
      </c>
      <c r="F41" s="36"/>
      <c r="H41" s="37"/>
      <c r="I41" s="71"/>
      <c r="J41" s="71"/>
    </row>
    <row r="42" spans="1:10" ht="15">
      <c r="E42" s="39" t="s">
        <v>45</v>
      </c>
      <c r="F42" s="40"/>
      <c r="G42" s="41"/>
      <c r="H42" s="42"/>
      <c r="I42" s="71"/>
      <c r="J42" s="71"/>
    </row>
    <row r="43" spans="1:10">
      <c r="I43" s="71"/>
      <c r="J43" s="71"/>
    </row>
  </sheetData>
  <mergeCells count="5">
    <mergeCell ref="A32:E32"/>
    <mergeCell ref="F32:G32"/>
    <mergeCell ref="F10:G10"/>
    <mergeCell ref="F11:G11"/>
    <mergeCell ref="A15:C15"/>
  </mergeCells>
  <printOptions horizontalCentered="1"/>
  <pageMargins left="0.51180555555555596" right="0.51180555555555596" top="0.63472222222222197" bottom="0.51180555555555596" header="0.511811023622047" footer="0.23611111111111099"/>
  <pageSetup orientation="portrait" horizontalDpi="300" verticalDpi="300" r:id="rId1"/>
  <headerFooter>
    <oddFooter>&amp;L&amp;8&amp;K7a7a7aInvoice Template © 2014 Vertex42.com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3:Q43"/>
  <sheetViews>
    <sheetView showGridLines="0" topLeftCell="A10" zoomScaleNormal="100" workbookViewId="0">
      <selection activeCell="C23" sqref="C23:G28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9.09765625" customWidth="1"/>
    <col min="8" max="8" width="18.5" customWidth="1"/>
    <col min="10" max="10" width="26.69921875" customWidth="1"/>
  </cols>
  <sheetData>
    <row r="3" spans="1:11" ht="16.2" customHeight="1"/>
    <row r="4" spans="1:11" ht="16.2" customHeight="1"/>
    <row r="5" spans="1:11" ht="16.2" customHeight="1"/>
    <row r="6" spans="1:11" ht="25.2" customHeight="1"/>
    <row r="7" spans="1:11" ht="36.6">
      <c r="A7" s="72" t="s">
        <v>46</v>
      </c>
      <c r="B7" s="2"/>
      <c r="C7" s="2"/>
      <c r="D7" s="2"/>
      <c r="E7" s="3"/>
      <c r="G7" s="4"/>
      <c r="H7" s="5" t="s">
        <v>1</v>
      </c>
    </row>
    <row r="8" spans="1:11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1">
      <c r="A9" s="6" t="s">
        <v>23</v>
      </c>
      <c r="B9" s="6"/>
      <c r="C9" s="6"/>
      <c r="D9" s="7"/>
      <c r="E9" s="6"/>
      <c r="J9" s="10"/>
    </row>
    <row r="10" spans="1:11" ht="18" customHeight="1">
      <c r="A10" s="6" t="s">
        <v>24</v>
      </c>
      <c r="B10" s="11"/>
      <c r="C10" s="11"/>
      <c r="D10" s="7"/>
      <c r="E10" s="6"/>
      <c r="F10" s="242" t="s">
        <v>5</v>
      </c>
      <c r="G10" s="242"/>
      <c r="H10" s="12" t="s">
        <v>6</v>
      </c>
      <c r="J10" s="9"/>
    </row>
    <row r="11" spans="1:11" ht="18" customHeight="1">
      <c r="A11" s="7" t="s">
        <v>25</v>
      </c>
      <c r="B11" s="7"/>
      <c r="C11" s="7"/>
      <c r="D11" s="7"/>
      <c r="E11" s="6"/>
      <c r="F11" s="243">
        <v>2219</v>
      </c>
      <c r="G11" s="243"/>
      <c r="H11" s="13" t="e">
        <f>VLOOKUP(F11,'Bills List'!B:H,3,0)</f>
        <v>#N/A</v>
      </c>
      <c r="J11" s="14"/>
    </row>
    <row r="12" spans="1:11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1" ht="15.6">
      <c r="A13" s="43" t="s">
        <v>47</v>
      </c>
      <c r="B13" s="73"/>
      <c r="C13" s="6"/>
      <c r="D13" s="6"/>
      <c r="E13" s="7"/>
      <c r="F13" s="7"/>
      <c r="G13" s="7"/>
      <c r="H13" s="7"/>
      <c r="J13" s="15"/>
    </row>
    <row r="14" spans="1:11">
      <c r="A14" s="7"/>
      <c r="B14" s="7"/>
      <c r="C14" s="7"/>
      <c r="D14" s="7"/>
      <c r="E14" s="7"/>
      <c r="F14" s="7"/>
      <c r="G14" s="7"/>
      <c r="H14" s="7"/>
      <c r="J14" s="15"/>
      <c r="K14" s="16"/>
    </row>
    <row r="15" spans="1:11" ht="20.100000000000001" customHeight="1">
      <c r="A15" s="244" t="s">
        <v>7</v>
      </c>
      <c r="B15" s="244"/>
      <c r="C15" s="244"/>
      <c r="D15" s="6"/>
      <c r="E15" s="7"/>
      <c r="F15" s="7"/>
      <c r="G15" s="7"/>
      <c r="H15" s="7"/>
      <c r="J15" s="15"/>
      <c r="K15" s="16"/>
    </row>
    <row r="16" spans="1:11">
      <c r="A16" s="16" t="e">
        <f>VLOOKUP(F11,'Bills List'!B:H,2,0)</f>
        <v>#N/A</v>
      </c>
      <c r="B16" s="6"/>
      <c r="C16" s="6"/>
      <c r="D16" s="6"/>
      <c r="E16" s="7"/>
      <c r="F16" s="7"/>
      <c r="G16" s="7"/>
      <c r="H16" s="7"/>
      <c r="J16" s="15"/>
      <c r="K16" s="16"/>
    </row>
    <row r="17" spans="1:17">
      <c r="A17" s="16" t="e">
        <f>VLOOKUP(F11,'Bills List'!B:H,5,0)</f>
        <v>#N/A</v>
      </c>
      <c r="B17" s="6"/>
      <c r="C17" s="6"/>
      <c r="D17" s="6"/>
      <c r="E17" s="7"/>
      <c r="F17" s="7"/>
      <c r="G17" s="7"/>
      <c r="H17" s="7"/>
      <c r="J17" s="15"/>
      <c r="K17" s="16"/>
      <c r="M17" s="60"/>
      <c r="N17" s="60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17" t="s">
        <v>9</v>
      </c>
      <c r="B19" s="18"/>
      <c r="C19" s="18"/>
      <c r="D19" s="19"/>
      <c r="E19" s="19"/>
      <c r="F19" s="19"/>
      <c r="G19" s="19"/>
      <c r="H19" s="12" t="s">
        <v>10</v>
      </c>
      <c r="J19" s="15"/>
    </row>
    <row r="20" spans="1:17">
      <c r="A20" s="20"/>
      <c r="B20" s="6"/>
      <c r="C20" s="6"/>
      <c r="D20" s="6"/>
      <c r="E20" s="6"/>
      <c r="F20" s="6"/>
      <c r="G20" s="6"/>
      <c r="H20" s="21"/>
      <c r="J20" s="16" t="s">
        <v>48</v>
      </c>
      <c r="N20" s="59" t="s">
        <v>31</v>
      </c>
    </row>
    <row r="21" spans="1:17">
      <c r="A21" s="20" t="s">
        <v>11</v>
      </c>
      <c r="B21" s="6"/>
      <c r="C21" s="6"/>
      <c r="D21" s="6"/>
      <c r="E21" s="6"/>
      <c r="F21" s="6"/>
      <c r="G21" s="6"/>
      <c r="H21" s="21"/>
      <c r="J21" s="16" t="s">
        <v>49</v>
      </c>
      <c r="N21" s="59" t="s">
        <v>50</v>
      </c>
    </row>
    <row r="22" spans="1:17">
      <c r="A22" s="20" t="s">
        <v>12</v>
      </c>
      <c r="B22" s="6"/>
      <c r="C22" s="16" t="e">
        <f>VLOOKUP(F11,'Bills List'!B:H,6,0)</f>
        <v>#N/A</v>
      </c>
      <c r="D22" s="6"/>
      <c r="E22" s="6"/>
      <c r="F22" s="6"/>
      <c r="G22" s="16"/>
      <c r="H22" s="21" t="e">
        <f>VLOOKUP(F11,'Bills List'!B:E,4,0)</f>
        <v>#N/A</v>
      </c>
      <c r="J22" s="74" t="s">
        <v>51</v>
      </c>
      <c r="N22" s="59" t="s">
        <v>52</v>
      </c>
    </row>
    <row r="23" spans="1:17">
      <c r="A23" s="75"/>
      <c r="B23" s="6"/>
      <c r="C23" s="240"/>
      <c r="H23" s="21"/>
      <c r="J23" s="16" t="s">
        <v>53</v>
      </c>
      <c r="N23" s="59" t="s">
        <v>52</v>
      </c>
    </row>
    <row r="24" spans="1:17">
      <c r="A24" s="75"/>
      <c r="B24" s="6"/>
      <c r="C24" s="240"/>
      <c r="F24" s="210"/>
      <c r="H24" s="21"/>
      <c r="J24" s="76" t="s">
        <v>54</v>
      </c>
      <c r="L24" s="60"/>
      <c r="M24" s="60"/>
      <c r="N24" s="59" t="s">
        <v>55</v>
      </c>
      <c r="O24" s="62"/>
    </row>
    <row r="25" spans="1:17">
      <c r="A25" s="20"/>
      <c r="B25" s="6"/>
      <c r="C25" s="240"/>
      <c r="H25" s="21"/>
      <c r="J25" s="76" t="s">
        <v>56</v>
      </c>
      <c r="L25" s="63"/>
      <c r="M25" s="63"/>
      <c r="N25" s="59" t="s">
        <v>57</v>
      </c>
      <c r="O25" s="62"/>
    </row>
    <row r="26" spans="1:17">
      <c r="A26" s="20"/>
      <c r="B26" s="225"/>
      <c r="C26" s="240"/>
      <c r="H26" s="21"/>
      <c r="J26" s="16"/>
      <c r="K26" s="16"/>
      <c r="O26" s="62"/>
    </row>
    <row r="27" spans="1:17">
      <c r="A27" s="75"/>
      <c r="B27" s="77"/>
      <c r="C27" s="240"/>
      <c r="H27" s="21"/>
      <c r="J27" s="16"/>
      <c r="K27" s="16"/>
      <c r="M27" s="60"/>
      <c r="N27" s="60"/>
      <c r="O27" s="62"/>
    </row>
    <row r="28" spans="1:17">
      <c r="A28" s="20"/>
      <c r="B28" s="77"/>
      <c r="C28" s="240"/>
      <c r="F28" s="211"/>
      <c r="H28" s="21"/>
      <c r="J28" t="s">
        <v>58</v>
      </c>
    </row>
    <row r="29" spans="1:17">
      <c r="A29" s="212"/>
      <c r="B29" s="6"/>
      <c r="C29" s="249"/>
      <c r="D29" s="249"/>
      <c r="E29" s="249"/>
      <c r="F29" s="249"/>
      <c r="H29" s="21"/>
    </row>
    <row r="30" spans="1:17">
      <c r="A30" s="78" t="s">
        <v>39</v>
      </c>
      <c r="B30" s="6"/>
      <c r="H30" s="55"/>
      <c r="J30" s="15"/>
      <c r="L30" s="16"/>
      <c r="N30" s="60"/>
      <c r="O30" s="60"/>
      <c r="P30" s="63"/>
      <c r="Q30" s="62"/>
    </row>
    <row r="31" spans="1:17">
      <c r="A31" s="20"/>
      <c r="B31" s="6"/>
      <c r="C31" s="6"/>
      <c r="D31" s="6"/>
      <c r="E31" s="6"/>
      <c r="F31" s="6"/>
      <c r="G31" s="6"/>
      <c r="H31" s="21"/>
      <c r="J31" s="15"/>
    </row>
    <row r="32" spans="1:17" s="27" customFormat="1" ht="27.9" customHeight="1">
      <c r="A32" s="245" t="s">
        <v>13</v>
      </c>
      <c r="B32" s="245"/>
      <c r="C32" s="245"/>
      <c r="D32" s="245"/>
      <c r="E32" s="245"/>
      <c r="F32" s="246" t="s">
        <v>14</v>
      </c>
      <c r="G32" s="246"/>
      <c r="H32" s="26" t="e">
        <f>SUM(H20:H31)</f>
        <v>#N/A</v>
      </c>
      <c r="J32" s="14"/>
    </row>
    <row r="33" spans="1:10" ht="27.9" customHeight="1">
      <c r="A33" s="68" t="e">
        <f>SPELLNUMBER(H32)</f>
        <v>#VALUE!</v>
      </c>
      <c r="B33" s="69"/>
      <c r="C33" s="70"/>
      <c r="D33" s="70"/>
      <c r="E33" s="70"/>
      <c r="F33" s="70"/>
      <c r="G33" s="70"/>
      <c r="H33" s="26"/>
      <c r="J33" s="14"/>
    </row>
    <row r="34" spans="1:10" ht="27.6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13.2" customHeight="1">
      <c r="A35" s="30"/>
      <c r="B35" s="8"/>
      <c r="C35" s="8"/>
      <c r="D35" s="8"/>
      <c r="E35" s="8"/>
      <c r="F35" s="28"/>
      <c r="G35" s="28"/>
      <c r="H35" s="29"/>
    </row>
    <row r="36" spans="1:10">
      <c r="C36" s="31" t="s">
        <v>16</v>
      </c>
      <c r="D36" s="33"/>
      <c r="E36" s="33"/>
      <c r="F36" s="32"/>
      <c r="G36" s="33"/>
      <c r="H36" s="34"/>
      <c r="I36" s="71"/>
      <c r="J36" s="71"/>
    </row>
    <row r="37" spans="1:10" ht="16.8" customHeight="1">
      <c r="C37" s="35" t="s">
        <v>59</v>
      </c>
      <c r="F37" s="36"/>
      <c r="H37" s="37"/>
      <c r="I37" s="71"/>
      <c r="J37" s="71"/>
    </row>
    <row r="38" spans="1:10" ht="18.600000000000001" customHeight="1">
      <c r="C38" s="38" t="s">
        <v>60</v>
      </c>
      <c r="F38" s="36"/>
      <c r="H38" s="37"/>
      <c r="I38" s="71"/>
      <c r="J38" s="71"/>
    </row>
    <row r="39" spans="1:10" ht="18.600000000000001" customHeight="1">
      <c r="C39" s="38" t="s">
        <v>61</v>
      </c>
      <c r="F39" s="36"/>
      <c r="H39" s="37"/>
      <c r="I39" s="71"/>
      <c r="J39" s="71"/>
    </row>
    <row r="40" spans="1:10" ht="15">
      <c r="C40" s="38" t="s">
        <v>62</v>
      </c>
      <c r="F40" s="36"/>
      <c r="H40" s="37"/>
      <c r="I40" s="71"/>
      <c r="J40" s="71"/>
    </row>
    <row r="41" spans="1:10" ht="15">
      <c r="C41" s="39" t="s">
        <v>63</v>
      </c>
      <c r="D41" s="41"/>
      <c r="E41" s="41"/>
      <c r="F41" s="40"/>
      <c r="G41" s="41"/>
      <c r="H41" s="42"/>
      <c r="I41" s="71"/>
      <c r="J41" s="71"/>
    </row>
    <row r="42" spans="1:10" ht="15">
      <c r="E42" s="79"/>
      <c r="F42" s="80"/>
      <c r="G42" s="81"/>
      <c r="H42" s="81"/>
      <c r="I42" s="71"/>
      <c r="J42" s="71"/>
    </row>
    <row r="43" spans="1:10">
      <c r="I43" s="71"/>
      <c r="J43" s="71"/>
    </row>
  </sheetData>
  <mergeCells count="6">
    <mergeCell ref="F10:G10"/>
    <mergeCell ref="F11:G11"/>
    <mergeCell ref="A15:C15"/>
    <mergeCell ref="A32:E32"/>
    <mergeCell ref="F32:G32"/>
    <mergeCell ref="C29:F29"/>
  </mergeCells>
  <printOptions horizontalCentered="1"/>
  <pageMargins left="0.51180555555555596" right="0.51180555555555596" top="0.63472222222222197" bottom="0.51180555555555596" header="0.511811023622047" footer="0.511811023622047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J45"/>
  <sheetViews>
    <sheetView showGridLines="0" zoomScaleNormal="100" workbookViewId="0">
      <selection activeCell="F5" sqref="F5:G5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1" spans="1:10" ht="36.6">
      <c r="A1" s="72" t="s">
        <v>46</v>
      </c>
      <c r="B1" s="2"/>
      <c r="C1" s="2"/>
      <c r="D1" s="2"/>
      <c r="E1" s="3"/>
      <c r="G1" s="4"/>
      <c r="H1" s="5" t="s">
        <v>1</v>
      </c>
    </row>
    <row r="2" spans="1:10">
      <c r="A2" s="6" t="s">
        <v>22</v>
      </c>
      <c r="B2" s="6"/>
      <c r="C2" s="6"/>
      <c r="D2" s="7"/>
      <c r="E2" s="6"/>
      <c r="F2" s="7"/>
      <c r="G2" s="8"/>
      <c r="H2" s="8"/>
      <c r="J2" s="9"/>
    </row>
    <row r="3" spans="1:10">
      <c r="A3" s="6" t="s">
        <v>23</v>
      </c>
      <c r="B3" s="6"/>
      <c r="C3" s="6"/>
      <c r="D3" s="7"/>
      <c r="E3" s="6"/>
      <c r="J3" s="10"/>
    </row>
    <row r="4" spans="1:10" ht="18" customHeight="1">
      <c r="A4" s="6" t="s">
        <v>24</v>
      </c>
      <c r="B4" s="11"/>
      <c r="C4" s="11"/>
      <c r="D4" s="7"/>
      <c r="E4" s="6"/>
      <c r="F4" s="242" t="s">
        <v>5</v>
      </c>
      <c r="G4" s="242"/>
      <c r="H4" s="12" t="s">
        <v>6</v>
      </c>
      <c r="J4" s="9"/>
    </row>
    <row r="5" spans="1:10" ht="18" customHeight="1">
      <c r="A5" s="7" t="s">
        <v>25</v>
      </c>
      <c r="B5" s="7"/>
      <c r="C5" s="7"/>
      <c r="D5" s="7"/>
      <c r="E5" s="6"/>
      <c r="F5" s="243">
        <v>1636</v>
      </c>
      <c r="G5" s="243"/>
      <c r="H5" s="13">
        <f>VLOOKUP(F5,'Bills List'!B:H,3,0)</f>
        <v>44342</v>
      </c>
      <c r="J5" s="14"/>
    </row>
    <row r="6" spans="1:10">
      <c r="A6" s="6" t="s">
        <v>26</v>
      </c>
      <c r="B6" s="6"/>
      <c r="C6" s="6"/>
      <c r="D6" s="6"/>
      <c r="E6" s="7"/>
      <c r="F6" s="7"/>
      <c r="G6" s="7"/>
      <c r="H6" s="7"/>
      <c r="J6" s="15"/>
    </row>
    <row r="7" spans="1:10">
      <c r="A7" s="6"/>
      <c r="B7" s="6"/>
      <c r="C7" s="6"/>
      <c r="D7" s="6"/>
      <c r="E7" s="7"/>
      <c r="F7" s="7"/>
      <c r="G7" s="7"/>
      <c r="H7" s="7"/>
      <c r="J7" s="15"/>
    </row>
    <row r="8" spans="1:10">
      <c r="A8" s="7"/>
      <c r="B8" s="7"/>
      <c r="C8" s="7"/>
      <c r="D8" s="7"/>
      <c r="E8" s="7"/>
      <c r="F8" s="7"/>
      <c r="G8" s="7"/>
      <c r="H8" s="7"/>
      <c r="J8" s="15"/>
    </row>
    <row r="9" spans="1:10" ht="20.100000000000001" customHeight="1">
      <c r="A9" s="244" t="s">
        <v>7</v>
      </c>
      <c r="B9" s="244"/>
      <c r="C9" s="244"/>
      <c r="D9" s="6"/>
      <c r="E9" s="7"/>
      <c r="F9" s="7"/>
      <c r="G9" s="7"/>
      <c r="H9" s="7"/>
      <c r="J9" s="15"/>
    </row>
    <row r="10" spans="1:10">
      <c r="A10" s="16" t="str">
        <f>VLOOKUP(F5,'Bills List'!B:H,2,0)</f>
        <v>B N JEWELLERS</v>
      </c>
      <c r="B10" s="6"/>
      <c r="C10" s="6"/>
      <c r="D10" s="6"/>
      <c r="E10" s="7"/>
      <c r="F10" s="7"/>
      <c r="G10" s="7"/>
      <c r="H10" s="7"/>
      <c r="J10" s="15"/>
    </row>
    <row r="11" spans="1:10">
      <c r="A11" s="16" t="str">
        <f>VLOOKUP(F5,'Bills List'!B:H,5,0)</f>
        <v>Mumbai - 400002</v>
      </c>
      <c r="B11" s="6"/>
      <c r="C11" s="6"/>
      <c r="D11" s="6"/>
      <c r="E11" s="7"/>
      <c r="F11" s="7"/>
      <c r="G11" s="7"/>
      <c r="H11" s="7"/>
      <c r="J11" s="15"/>
    </row>
    <row r="12" spans="1:10">
      <c r="A12" s="6"/>
      <c r="B12" s="6"/>
      <c r="C12" s="6"/>
      <c r="D12" s="6"/>
      <c r="E12" s="7"/>
      <c r="F12" s="7"/>
      <c r="G12" s="7"/>
      <c r="H12" s="7"/>
    </row>
    <row r="13" spans="1:10">
      <c r="A13" s="6"/>
      <c r="B13" s="6"/>
      <c r="C13" s="6"/>
      <c r="D13" s="6"/>
      <c r="E13" s="7"/>
      <c r="F13" s="7"/>
      <c r="G13" s="7"/>
      <c r="H13" s="7"/>
    </row>
    <row r="14" spans="1:10">
      <c r="A14" s="6"/>
      <c r="B14" s="6"/>
      <c r="C14" s="6"/>
      <c r="D14" s="6"/>
      <c r="E14" s="7"/>
      <c r="F14" s="7"/>
      <c r="G14" s="7"/>
      <c r="H14" s="7"/>
      <c r="J14" s="82"/>
    </row>
    <row r="15" spans="1:10">
      <c r="A15" s="7"/>
      <c r="B15" s="7"/>
      <c r="C15" s="7"/>
      <c r="D15" s="7"/>
      <c r="E15" s="7"/>
      <c r="F15" s="7"/>
      <c r="G15" s="7"/>
      <c r="H15" s="7"/>
      <c r="J15" s="14"/>
    </row>
    <row r="16" spans="1:10">
      <c r="A16" s="7"/>
      <c r="B16" s="7"/>
      <c r="C16" s="7"/>
      <c r="D16" s="7"/>
      <c r="E16" s="7"/>
      <c r="J16" s="14"/>
    </row>
    <row r="17" spans="1:10">
      <c r="A17" s="6"/>
      <c r="B17" s="6"/>
      <c r="C17" s="6"/>
      <c r="D17" s="6"/>
      <c r="E17" s="7"/>
      <c r="F17" s="7"/>
      <c r="G17" s="7"/>
      <c r="H17" s="7"/>
      <c r="J17" s="15"/>
    </row>
    <row r="18" spans="1:10" ht="20.100000000000001" customHeight="1">
      <c r="A18" s="17" t="s">
        <v>9</v>
      </c>
      <c r="B18" s="18"/>
      <c r="C18" s="18"/>
      <c r="D18" s="19"/>
      <c r="E18" s="19"/>
      <c r="F18" s="19"/>
      <c r="G18" s="19"/>
      <c r="H18" s="12" t="s">
        <v>10</v>
      </c>
      <c r="J18" s="15"/>
    </row>
    <row r="19" spans="1:10">
      <c r="A19" s="20"/>
      <c r="B19" s="6"/>
      <c r="C19" s="6"/>
      <c r="D19" s="6"/>
      <c r="E19" s="6"/>
      <c r="F19" s="6"/>
      <c r="G19" s="6"/>
      <c r="H19" s="21"/>
      <c r="J19" s="14"/>
    </row>
    <row r="20" spans="1:10">
      <c r="A20" s="20" t="s">
        <v>11</v>
      </c>
      <c r="B20" s="6"/>
      <c r="C20" s="6"/>
      <c r="D20" s="6"/>
      <c r="E20" s="6"/>
      <c r="F20" s="6"/>
      <c r="G20" s="6"/>
      <c r="H20" s="21"/>
    </row>
    <row r="21" spans="1:10" ht="16.2">
      <c r="A21" s="83" t="s">
        <v>12</v>
      </c>
      <c r="B21" s="76"/>
      <c r="C21" s="84" t="str">
        <f>VLOOKUP(F5,'Bills List'!B:H,6,0)</f>
        <v>May 2021</v>
      </c>
      <c r="D21" s="6"/>
      <c r="E21" s="84"/>
      <c r="F21" s="6"/>
      <c r="G21" s="6"/>
      <c r="H21" s="21">
        <f>VLOOKUP(F5,'Bills List'!B:E,4,0)</f>
        <v>5000</v>
      </c>
      <c r="J21" s="14"/>
    </row>
    <row r="22" spans="1:10">
      <c r="A22" s="85"/>
      <c r="C22" s="86"/>
      <c r="D22" s="6"/>
      <c r="E22" s="6"/>
      <c r="F22" s="16"/>
      <c r="G22" s="6"/>
      <c r="H22" s="21"/>
      <c r="J22" s="14"/>
    </row>
    <row r="23" spans="1:10">
      <c r="A23" s="85"/>
      <c r="B23" s="6"/>
      <c r="C23" s="6"/>
      <c r="D23" s="6"/>
      <c r="E23" s="6"/>
      <c r="F23" s="16"/>
      <c r="G23" s="6"/>
      <c r="H23" s="21"/>
      <c r="J23" s="14"/>
    </row>
    <row r="24" spans="1:10">
      <c r="A24" s="78"/>
      <c r="B24" s="6"/>
      <c r="C24" s="6"/>
      <c r="D24" s="6"/>
      <c r="E24" s="6"/>
      <c r="F24" s="16"/>
      <c r="G24" s="6"/>
      <c r="H24" s="21"/>
      <c r="J24" s="15"/>
    </row>
    <row r="25" spans="1:10">
      <c r="A25" s="20"/>
      <c r="B25" s="6"/>
      <c r="C25" s="6"/>
      <c r="D25" s="6"/>
      <c r="E25" s="6"/>
      <c r="F25" s="6"/>
      <c r="G25" s="6"/>
      <c r="H25" s="21"/>
      <c r="J25" s="15"/>
    </row>
    <row r="26" spans="1:10">
      <c r="A26" s="20"/>
      <c r="B26" s="6"/>
      <c r="C26" s="6"/>
      <c r="D26" s="6"/>
      <c r="E26" s="6"/>
      <c r="F26" s="6"/>
      <c r="G26" s="6"/>
      <c r="H26" s="21"/>
      <c r="J26" s="15"/>
    </row>
    <row r="27" spans="1:10">
      <c r="A27" s="20"/>
      <c r="B27" s="6"/>
      <c r="C27" s="6"/>
      <c r="D27" s="6"/>
      <c r="E27" s="6"/>
      <c r="F27" s="6"/>
      <c r="G27" s="6"/>
      <c r="H27" s="21"/>
      <c r="J27" s="15"/>
    </row>
    <row r="28" spans="1:10">
      <c r="A28" s="20" t="s">
        <v>39</v>
      </c>
      <c r="B28" s="6"/>
      <c r="C28" s="6"/>
      <c r="D28" s="6"/>
      <c r="E28" s="6"/>
      <c r="F28" s="6"/>
      <c r="G28" s="6"/>
      <c r="H28" s="21">
        <v>0</v>
      </c>
      <c r="J28" s="15"/>
    </row>
    <row r="29" spans="1:10">
      <c r="A29" s="20"/>
      <c r="B29" s="6"/>
      <c r="C29" s="6"/>
      <c r="D29" s="6"/>
      <c r="E29" s="6"/>
      <c r="F29" s="6"/>
      <c r="G29" s="6"/>
      <c r="H29" s="21"/>
      <c r="J29" s="15"/>
    </row>
    <row r="30" spans="1:10">
      <c r="A30" s="20"/>
      <c r="B30" s="6"/>
      <c r="C30" s="6"/>
      <c r="D30" s="6"/>
      <c r="E30" s="6"/>
      <c r="F30" s="6"/>
      <c r="G30" s="6"/>
      <c r="H30" s="21"/>
      <c r="J30" s="15"/>
    </row>
    <row r="31" spans="1:10">
      <c r="A31" s="20"/>
      <c r="B31" s="6"/>
      <c r="C31" s="6"/>
      <c r="D31" s="6"/>
      <c r="E31" s="6"/>
      <c r="F31" s="6"/>
      <c r="G31" s="6"/>
      <c r="H31" s="21"/>
      <c r="J31" s="15"/>
    </row>
    <row r="32" spans="1:10">
      <c r="A32" s="20"/>
      <c r="B32" s="6"/>
      <c r="C32" s="6"/>
      <c r="D32" s="6"/>
      <c r="E32" s="6"/>
      <c r="F32" s="6"/>
      <c r="G32" s="6"/>
      <c r="H32" s="21"/>
      <c r="J32" s="15"/>
    </row>
    <row r="33" spans="1:10">
      <c r="A33" s="20"/>
      <c r="B33" s="6"/>
      <c r="C33" s="6"/>
      <c r="D33" s="6"/>
      <c r="E33" s="6"/>
      <c r="F33" s="6"/>
      <c r="G33" s="6"/>
      <c r="H33" s="21"/>
      <c r="J33" s="15"/>
    </row>
    <row r="34" spans="1:10">
      <c r="A34" s="20"/>
      <c r="B34" s="6"/>
      <c r="C34" s="6"/>
      <c r="D34" s="6"/>
      <c r="E34" s="6"/>
      <c r="F34" s="6"/>
      <c r="G34" s="6"/>
      <c r="H34" s="21"/>
      <c r="J34" s="15"/>
    </row>
    <row r="35" spans="1:10">
      <c r="A35" s="20"/>
      <c r="B35" s="6"/>
      <c r="C35" s="6"/>
      <c r="D35" s="6"/>
      <c r="E35" s="6"/>
      <c r="F35" s="6"/>
      <c r="G35" s="6"/>
      <c r="H35" s="21"/>
      <c r="J35" s="15"/>
    </row>
    <row r="36" spans="1:10" ht="17.399999999999999">
      <c r="A36" s="245" t="s">
        <v>13</v>
      </c>
      <c r="B36" s="245"/>
      <c r="C36" s="245"/>
      <c r="D36" s="245"/>
      <c r="E36" s="245"/>
      <c r="F36" s="246" t="s">
        <v>14</v>
      </c>
      <c r="G36" s="246"/>
      <c r="H36" s="26">
        <f>SUM(H19:H35)</f>
        <v>5000</v>
      </c>
      <c r="J36" s="15"/>
    </row>
    <row r="37" spans="1:10" ht="27.9" customHeight="1">
      <c r="A37" s="68" t="str">
        <f>SPELLNUMBER(H36)</f>
        <v xml:space="preserve">Rupees Five Thousand  Only </v>
      </c>
      <c r="B37" s="69"/>
      <c r="C37" s="70"/>
      <c r="D37" s="70"/>
      <c r="E37" s="70"/>
      <c r="F37" s="70"/>
      <c r="G37" s="70"/>
      <c r="H37" s="26"/>
      <c r="J37" s="14"/>
    </row>
    <row r="38" spans="1:10" ht="15.6">
      <c r="A38" s="30" t="s">
        <v>15</v>
      </c>
      <c r="B38" s="8"/>
      <c r="C38" s="8"/>
      <c r="D38" s="8"/>
      <c r="E38" s="8"/>
      <c r="F38" s="28"/>
      <c r="G38" s="28"/>
      <c r="H38" s="29"/>
      <c r="J38" s="15"/>
    </row>
    <row r="39" spans="1:10" s="27" customFormat="1" ht="17.399999999999999" customHeight="1">
      <c r="A39" s="30"/>
      <c r="B39" s="8"/>
      <c r="C39" s="8"/>
      <c r="D39" s="8"/>
      <c r="E39" s="8"/>
      <c r="F39" s="28"/>
      <c r="G39" s="28"/>
      <c r="H39" s="29"/>
      <c r="J39" s="14"/>
    </row>
    <row r="40" spans="1:10" ht="27.9" customHeight="1">
      <c r="C40" s="31" t="s">
        <v>16</v>
      </c>
      <c r="D40" s="33"/>
      <c r="E40" s="33"/>
      <c r="F40" s="32"/>
      <c r="G40" s="33"/>
      <c r="H40" s="34"/>
      <c r="J40" s="14"/>
    </row>
    <row r="41" spans="1:10" ht="27.9" customHeight="1">
      <c r="C41" s="35" t="s">
        <v>59</v>
      </c>
      <c r="F41" s="36"/>
      <c r="H41" s="37"/>
    </row>
    <row r="42" spans="1:10" ht="15">
      <c r="C42" s="38" t="s">
        <v>60</v>
      </c>
      <c r="F42" s="36"/>
      <c r="H42" s="37"/>
    </row>
    <row r="43" spans="1:10" ht="15">
      <c r="C43" s="38" t="s">
        <v>61</v>
      </c>
      <c r="F43" s="36"/>
      <c r="H43" s="37"/>
    </row>
    <row r="44" spans="1:10" ht="15">
      <c r="C44" s="38" t="s">
        <v>62</v>
      </c>
      <c r="F44" s="36"/>
      <c r="H44" s="37"/>
      <c r="J44" s="14"/>
    </row>
    <row r="45" spans="1:10" ht="15">
      <c r="C45" s="39" t="s">
        <v>63</v>
      </c>
      <c r="D45" s="41"/>
      <c r="E45" s="41"/>
      <c r="F45" s="40"/>
      <c r="G45" s="41"/>
      <c r="H45" s="42"/>
    </row>
  </sheetData>
  <mergeCells count="5">
    <mergeCell ref="F4:G4"/>
    <mergeCell ref="F5:G5"/>
    <mergeCell ref="A9:C9"/>
    <mergeCell ref="A36:E36"/>
    <mergeCell ref="F36:G36"/>
  </mergeCells>
  <printOptions horizontalCentered="1"/>
  <pageMargins left="0.5" right="0.5" top="0.5" bottom="0.5" header="0.511811023622047" footer="0.25"/>
  <pageSetup orientation="portrait" horizontalDpi="300" verticalDpi="300"/>
  <headerFooter>
    <oddFooter>&amp;L&amp;8&amp;K7a7a7aInvoice Template © 2014 Vertex42.com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M1048576"/>
  <sheetViews>
    <sheetView zoomScaleNormal="100" workbookViewId="0">
      <pane xSplit="2" ySplit="1" topLeftCell="C1838" activePane="bottomRight" state="frozen"/>
      <selection pane="topRight" activeCell="C1" sqref="C1"/>
      <selection pane="bottomLeft" activeCell="A592" sqref="A592"/>
      <selection pane="bottomRight" activeCell="B1858" sqref="B1858"/>
    </sheetView>
  </sheetViews>
  <sheetFormatPr defaultColWidth="8.796875" defaultRowHeight="13.8"/>
  <cols>
    <col min="1" max="1" width="8.5" customWidth="1"/>
    <col min="2" max="2" width="6.59765625" customWidth="1"/>
    <col min="3" max="3" width="56" customWidth="1"/>
    <col min="4" max="4" width="13.5" customWidth="1"/>
    <col min="5" max="5" width="8.5" customWidth="1"/>
    <col min="6" max="6" width="14.8984375" customWidth="1"/>
    <col min="7" max="7" width="33" bestFit="1" customWidth="1"/>
    <col min="8" max="8" width="12.796875" customWidth="1"/>
    <col min="9" max="9" width="7.5" customWidth="1"/>
  </cols>
  <sheetData>
    <row r="1" spans="1:9">
      <c r="A1" s="87" t="s">
        <v>64</v>
      </c>
      <c r="B1" s="87" t="s">
        <v>65</v>
      </c>
      <c r="C1" s="87" t="s">
        <v>66</v>
      </c>
      <c r="D1" s="87" t="s">
        <v>67</v>
      </c>
      <c r="E1" s="87" t="s">
        <v>68</v>
      </c>
      <c r="F1" s="87" t="s">
        <v>69</v>
      </c>
      <c r="G1" s="87" t="s">
        <v>70</v>
      </c>
      <c r="H1" s="88" t="s">
        <v>71</v>
      </c>
      <c r="I1" s="87" t="s">
        <v>72</v>
      </c>
    </row>
    <row r="2" spans="1:9">
      <c r="A2" s="89" t="s">
        <v>73</v>
      </c>
      <c r="B2" s="89">
        <v>1401</v>
      </c>
      <c r="C2" s="89" t="s">
        <v>74</v>
      </c>
      <c r="D2" s="90">
        <v>43921</v>
      </c>
      <c r="E2" s="89">
        <v>3000</v>
      </c>
      <c r="F2" s="89"/>
      <c r="G2" s="91" t="s">
        <v>75</v>
      </c>
      <c r="H2" s="90">
        <v>43990</v>
      </c>
    </row>
    <row r="3" spans="1:9">
      <c r="A3" t="s">
        <v>73</v>
      </c>
      <c r="B3">
        <v>1402</v>
      </c>
      <c r="C3" t="s">
        <v>76</v>
      </c>
      <c r="D3" s="92">
        <v>43921</v>
      </c>
      <c r="E3">
        <v>3000</v>
      </c>
      <c r="G3" s="93" t="s">
        <v>75</v>
      </c>
      <c r="H3" s="92">
        <v>43990</v>
      </c>
    </row>
    <row r="4" spans="1:9">
      <c r="A4" s="94" t="s">
        <v>73</v>
      </c>
      <c r="B4" s="94">
        <v>1403</v>
      </c>
      <c r="C4" s="94" t="s">
        <v>77</v>
      </c>
      <c r="D4" s="95">
        <v>43921</v>
      </c>
      <c r="E4" s="94">
        <v>3300</v>
      </c>
      <c r="F4" s="94"/>
      <c r="G4" s="94" t="s">
        <v>78</v>
      </c>
      <c r="H4" s="95">
        <v>43990</v>
      </c>
    </row>
    <row r="5" spans="1:9">
      <c r="A5" s="96" t="s">
        <v>73</v>
      </c>
      <c r="B5" s="96">
        <v>1404</v>
      </c>
      <c r="C5" s="96" t="s">
        <v>79</v>
      </c>
      <c r="D5" s="97">
        <v>43921</v>
      </c>
      <c r="E5" s="96">
        <v>1500</v>
      </c>
      <c r="F5" s="96"/>
      <c r="G5" s="98" t="s">
        <v>75</v>
      </c>
      <c r="H5" s="96"/>
    </row>
    <row r="6" spans="1:9">
      <c r="A6" s="96" t="s">
        <v>73</v>
      </c>
      <c r="B6" s="96">
        <v>1405</v>
      </c>
      <c r="C6" s="96" t="s">
        <v>80</v>
      </c>
      <c r="D6" s="97">
        <v>43921</v>
      </c>
      <c r="E6" s="96">
        <v>1500</v>
      </c>
      <c r="F6" s="96"/>
      <c r="G6" s="98" t="s">
        <v>75</v>
      </c>
      <c r="H6" s="96"/>
    </row>
    <row r="7" spans="1:9">
      <c r="A7" s="99" t="s">
        <v>73</v>
      </c>
      <c r="B7" s="99">
        <v>1406</v>
      </c>
      <c r="C7" s="99" t="s">
        <v>81</v>
      </c>
      <c r="D7" s="100">
        <v>43921</v>
      </c>
      <c r="E7" s="99">
        <v>1800</v>
      </c>
      <c r="F7" s="99"/>
      <c r="G7" s="101" t="s">
        <v>75</v>
      </c>
      <c r="H7" s="99"/>
    </row>
    <row r="8" spans="1:9">
      <c r="A8" s="94" t="s">
        <v>73</v>
      </c>
      <c r="B8" s="94">
        <v>1501</v>
      </c>
      <c r="C8" s="94" t="s">
        <v>82</v>
      </c>
      <c r="D8" s="95">
        <v>43977</v>
      </c>
      <c r="E8" s="94">
        <v>9200</v>
      </c>
      <c r="F8" s="94"/>
      <c r="G8" s="94" t="s">
        <v>83</v>
      </c>
      <c r="H8" s="95">
        <v>43977</v>
      </c>
    </row>
    <row r="9" spans="1:9">
      <c r="A9" s="89" t="s">
        <v>73</v>
      </c>
      <c r="B9" s="89">
        <v>1502</v>
      </c>
      <c r="C9" s="89" t="s">
        <v>74</v>
      </c>
      <c r="D9" s="90">
        <v>43990</v>
      </c>
      <c r="E9" s="89">
        <v>6200</v>
      </c>
      <c r="F9" s="89"/>
      <c r="G9" s="89" t="s">
        <v>83</v>
      </c>
      <c r="H9" s="90">
        <v>43990</v>
      </c>
    </row>
    <row r="10" spans="1:9">
      <c r="A10" t="s">
        <v>73</v>
      </c>
      <c r="B10">
        <v>1503</v>
      </c>
      <c r="C10" t="s">
        <v>76</v>
      </c>
      <c r="D10" s="92">
        <v>43990</v>
      </c>
      <c r="E10">
        <v>6000</v>
      </c>
      <c r="G10" t="s">
        <v>83</v>
      </c>
      <c r="H10" s="92">
        <v>43990</v>
      </c>
    </row>
    <row r="11" spans="1:9">
      <c r="A11" s="87" t="s">
        <v>73</v>
      </c>
      <c r="B11" s="87">
        <v>1504</v>
      </c>
      <c r="C11" s="87" t="s">
        <v>79</v>
      </c>
      <c r="D11" s="102">
        <v>44008</v>
      </c>
      <c r="E11" s="87">
        <v>4500</v>
      </c>
      <c r="F11" s="87"/>
      <c r="G11" s="87" t="s">
        <v>84</v>
      </c>
      <c r="H11" s="87"/>
    </row>
    <row r="12" spans="1:9">
      <c r="A12" s="96" t="s">
        <v>73</v>
      </c>
      <c r="B12" s="96">
        <v>1505</v>
      </c>
      <c r="C12" s="96" t="s">
        <v>80</v>
      </c>
      <c r="D12" s="97">
        <v>44008</v>
      </c>
      <c r="E12" s="96">
        <v>4500</v>
      </c>
      <c r="F12" s="96"/>
      <c r="G12" s="96" t="s">
        <v>84</v>
      </c>
      <c r="H12" s="96"/>
    </row>
    <row r="13" spans="1:9">
      <c r="A13" s="103" t="s">
        <v>73</v>
      </c>
      <c r="B13" s="103">
        <v>1506</v>
      </c>
      <c r="C13" s="103" t="s">
        <v>82</v>
      </c>
      <c r="D13" s="104">
        <v>44012</v>
      </c>
      <c r="E13" s="103">
        <f>9200/2</f>
        <v>4600</v>
      </c>
      <c r="F13" s="103"/>
      <c r="G13" s="105" t="s">
        <v>85</v>
      </c>
      <c r="H13" s="104">
        <v>44012</v>
      </c>
    </row>
    <row r="14" spans="1:9">
      <c r="A14" s="99" t="s">
        <v>73</v>
      </c>
      <c r="B14" s="99">
        <v>1507</v>
      </c>
      <c r="C14" s="99" t="s">
        <v>86</v>
      </c>
      <c r="D14" s="100">
        <v>44012</v>
      </c>
      <c r="E14" s="99">
        <v>4800</v>
      </c>
      <c r="F14" s="99"/>
      <c r="G14" s="101" t="s">
        <v>84</v>
      </c>
      <c r="H14" s="100">
        <v>44014</v>
      </c>
    </row>
    <row r="15" spans="1:9">
      <c r="A15" s="87" t="s">
        <v>73</v>
      </c>
      <c r="B15" s="87">
        <v>1508</v>
      </c>
      <c r="C15" s="106" t="s">
        <v>87</v>
      </c>
      <c r="D15" s="102">
        <v>44012</v>
      </c>
      <c r="E15" s="87">
        <v>3300</v>
      </c>
      <c r="F15" s="87"/>
      <c r="G15" s="107" t="s">
        <v>84</v>
      </c>
      <c r="H15" s="87"/>
    </row>
    <row r="16" spans="1:9">
      <c r="A16" s="108" t="s">
        <v>73</v>
      </c>
      <c r="B16" s="108">
        <v>1509</v>
      </c>
      <c r="C16" s="108" t="s">
        <v>81</v>
      </c>
      <c r="D16" s="109">
        <v>44012</v>
      </c>
      <c r="E16" s="108">
        <v>5400</v>
      </c>
      <c r="F16" s="108"/>
      <c r="G16" s="110" t="s">
        <v>84</v>
      </c>
      <c r="H16" s="108"/>
    </row>
    <row r="17" spans="1:8">
      <c r="A17" s="94" t="s">
        <v>73</v>
      </c>
      <c r="B17" s="94">
        <v>1510</v>
      </c>
      <c r="C17" s="94" t="s">
        <v>77</v>
      </c>
      <c r="D17" s="95">
        <v>44012</v>
      </c>
      <c r="E17" s="94">
        <v>3300</v>
      </c>
      <c r="F17" s="94"/>
      <c r="G17" s="111" t="s">
        <v>84</v>
      </c>
      <c r="H17" s="94"/>
    </row>
    <row r="18" spans="1:8">
      <c r="A18" t="s">
        <v>73</v>
      </c>
      <c r="B18">
        <v>1511</v>
      </c>
      <c r="C18" s="112" t="s">
        <v>88</v>
      </c>
      <c r="D18" s="92">
        <v>44035</v>
      </c>
      <c r="E18">
        <v>10500</v>
      </c>
      <c r="F18" t="s">
        <v>25</v>
      </c>
      <c r="G18" s="93" t="s">
        <v>84</v>
      </c>
      <c r="H18" s="92">
        <v>44036</v>
      </c>
    </row>
    <row r="19" spans="1:8">
      <c r="A19" s="94" t="s">
        <v>73</v>
      </c>
      <c r="B19" s="94">
        <v>1512</v>
      </c>
      <c r="C19" s="94" t="s">
        <v>82</v>
      </c>
      <c r="D19" s="95">
        <v>44037</v>
      </c>
      <c r="E19" s="94">
        <v>4600</v>
      </c>
      <c r="F19" s="94" t="s">
        <v>89</v>
      </c>
      <c r="G19" s="111" t="s">
        <v>90</v>
      </c>
      <c r="H19" s="95">
        <v>44037</v>
      </c>
    </row>
    <row r="20" spans="1:8">
      <c r="A20" s="96" t="s">
        <v>73</v>
      </c>
      <c r="B20" s="96">
        <v>1513</v>
      </c>
      <c r="C20" s="96" t="s">
        <v>87</v>
      </c>
      <c r="D20" s="97">
        <v>44037</v>
      </c>
      <c r="E20" s="96">
        <v>1100</v>
      </c>
      <c r="F20" s="96" t="s">
        <v>91</v>
      </c>
      <c r="G20" s="98" t="s">
        <v>90</v>
      </c>
      <c r="H20" s="97">
        <v>44037</v>
      </c>
    </row>
    <row r="21" spans="1:8">
      <c r="A21" s="87" t="s">
        <v>73</v>
      </c>
      <c r="B21" s="87">
        <v>1514</v>
      </c>
      <c r="C21" s="87" t="s">
        <v>81</v>
      </c>
      <c r="D21" s="102">
        <v>44037</v>
      </c>
      <c r="E21" s="87">
        <v>1800</v>
      </c>
      <c r="F21" s="87" t="s">
        <v>92</v>
      </c>
      <c r="G21" s="107" t="s">
        <v>90</v>
      </c>
      <c r="H21" s="102">
        <v>44037</v>
      </c>
    </row>
    <row r="22" spans="1:8">
      <c r="A22" s="108" t="s">
        <v>73</v>
      </c>
      <c r="B22" s="108">
        <v>1515</v>
      </c>
      <c r="C22" s="108" t="s">
        <v>80</v>
      </c>
      <c r="D22" s="109">
        <v>44037</v>
      </c>
      <c r="E22" s="108">
        <v>1500</v>
      </c>
      <c r="F22" s="108" t="s">
        <v>3</v>
      </c>
      <c r="G22" s="110" t="s">
        <v>90</v>
      </c>
      <c r="H22" s="109">
        <v>44037</v>
      </c>
    </row>
    <row r="23" spans="1:8">
      <c r="A23" s="87" t="s">
        <v>73</v>
      </c>
      <c r="B23" s="87">
        <v>1516</v>
      </c>
      <c r="C23" s="87" t="s">
        <v>79</v>
      </c>
      <c r="D23" s="102">
        <v>44037</v>
      </c>
      <c r="E23" s="87">
        <v>1500</v>
      </c>
      <c r="F23" s="87" t="s">
        <v>3</v>
      </c>
      <c r="G23" s="107" t="s">
        <v>90</v>
      </c>
      <c r="H23" s="102">
        <v>44037</v>
      </c>
    </row>
    <row r="24" spans="1:8">
      <c r="A24" t="s">
        <v>73</v>
      </c>
      <c r="B24">
        <v>1517</v>
      </c>
      <c r="C24" t="s">
        <v>76</v>
      </c>
      <c r="D24" s="92">
        <v>44037</v>
      </c>
      <c r="E24">
        <v>6000</v>
      </c>
      <c r="F24" t="s">
        <v>93</v>
      </c>
      <c r="G24" s="93" t="s">
        <v>94</v>
      </c>
      <c r="H24" s="92">
        <v>44037</v>
      </c>
    </row>
    <row r="25" spans="1:8">
      <c r="A25" s="89" t="s">
        <v>73</v>
      </c>
      <c r="B25" s="89">
        <v>1518</v>
      </c>
      <c r="C25" s="89" t="s">
        <v>74</v>
      </c>
      <c r="D25" s="113">
        <v>44037</v>
      </c>
      <c r="E25" s="89">
        <v>6200</v>
      </c>
      <c r="F25" s="89" t="s">
        <v>93</v>
      </c>
      <c r="G25" s="91" t="s">
        <v>94</v>
      </c>
      <c r="H25" s="90">
        <v>44037</v>
      </c>
    </row>
    <row r="26" spans="1:8">
      <c r="A26" s="87" t="s">
        <v>73</v>
      </c>
      <c r="B26" s="87">
        <v>1519</v>
      </c>
      <c r="C26" s="87" t="s">
        <v>82</v>
      </c>
      <c r="D26" s="102">
        <v>44070</v>
      </c>
      <c r="E26" s="87">
        <v>4600</v>
      </c>
      <c r="F26" s="87" t="s">
        <v>89</v>
      </c>
      <c r="G26" s="87" t="s">
        <v>95</v>
      </c>
      <c r="H26" s="102">
        <v>44070</v>
      </c>
    </row>
    <row r="27" spans="1:8">
      <c r="A27" s="96" t="s">
        <v>73</v>
      </c>
      <c r="B27" s="96">
        <v>1520</v>
      </c>
      <c r="C27" s="96" t="s">
        <v>87</v>
      </c>
      <c r="D27" s="97">
        <v>44070</v>
      </c>
      <c r="E27" s="96">
        <v>1100</v>
      </c>
      <c r="F27" s="96" t="s">
        <v>91</v>
      </c>
      <c r="G27" s="96" t="s">
        <v>95</v>
      </c>
      <c r="H27" s="97">
        <v>44070</v>
      </c>
    </row>
    <row r="28" spans="1:8">
      <c r="A28" s="87" t="s">
        <v>73</v>
      </c>
      <c r="B28" s="87">
        <v>1521</v>
      </c>
      <c r="C28" s="87" t="s">
        <v>81</v>
      </c>
      <c r="D28" s="102">
        <v>44070</v>
      </c>
      <c r="E28" s="87">
        <v>1800</v>
      </c>
      <c r="F28" s="87" t="s">
        <v>92</v>
      </c>
      <c r="G28" s="87" t="s">
        <v>95</v>
      </c>
      <c r="H28" s="102">
        <v>44070</v>
      </c>
    </row>
    <row r="29" spans="1:8">
      <c r="A29" s="108" t="s">
        <v>73</v>
      </c>
      <c r="B29" s="108">
        <v>1522</v>
      </c>
      <c r="C29" s="108" t="s">
        <v>80</v>
      </c>
      <c r="D29" s="109">
        <v>44070</v>
      </c>
      <c r="E29" s="108">
        <v>1500</v>
      </c>
      <c r="F29" s="108" t="s">
        <v>3</v>
      </c>
      <c r="G29" s="108" t="s">
        <v>95</v>
      </c>
      <c r="H29" s="109">
        <v>44070</v>
      </c>
    </row>
    <row r="30" spans="1:8">
      <c r="A30" s="87" t="s">
        <v>73</v>
      </c>
      <c r="B30" s="87">
        <v>1523</v>
      </c>
      <c r="C30" s="87" t="s">
        <v>79</v>
      </c>
      <c r="D30" s="102">
        <v>44070</v>
      </c>
      <c r="E30" s="87">
        <v>1500</v>
      </c>
      <c r="F30" s="87" t="s">
        <v>3</v>
      </c>
      <c r="G30" s="87" t="s">
        <v>95</v>
      </c>
      <c r="H30" s="102">
        <v>44070</v>
      </c>
    </row>
    <row r="31" spans="1:8">
      <c r="A31" t="s">
        <v>73</v>
      </c>
      <c r="B31">
        <v>1524</v>
      </c>
      <c r="C31" t="s">
        <v>76</v>
      </c>
      <c r="D31" s="92">
        <v>44070</v>
      </c>
      <c r="E31">
        <v>3000</v>
      </c>
      <c r="F31" t="s">
        <v>93</v>
      </c>
      <c r="G31" t="s">
        <v>95</v>
      </c>
      <c r="H31" s="92">
        <v>44070</v>
      </c>
    </row>
    <row r="32" spans="1:8">
      <c r="A32" t="s">
        <v>73</v>
      </c>
      <c r="B32">
        <v>1525</v>
      </c>
      <c r="C32" t="s">
        <v>74</v>
      </c>
      <c r="D32" s="92">
        <v>44070</v>
      </c>
      <c r="E32">
        <v>3100</v>
      </c>
      <c r="F32" t="s">
        <v>93</v>
      </c>
      <c r="G32" t="s">
        <v>95</v>
      </c>
      <c r="H32" s="92">
        <v>44070</v>
      </c>
    </row>
    <row r="33" spans="1:8">
      <c r="A33" s="87" t="s">
        <v>73</v>
      </c>
      <c r="B33" s="87">
        <v>1526</v>
      </c>
      <c r="C33" s="87" t="s">
        <v>96</v>
      </c>
      <c r="D33" s="102">
        <v>44076</v>
      </c>
      <c r="E33" s="87">
        <v>20400</v>
      </c>
      <c r="F33" s="87"/>
      <c r="G33" s="87" t="s">
        <v>97</v>
      </c>
      <c r="H33" s="87" t="s">
        <v>98</v>
      </c>
    </row>
    <row r="34" spans="1:8">
      <c r="A34" s="96" t="s">
        <v>73</v>
      </c>
      <c r="B34" s="96">
        <v>1527</v>
      </c>
      <c r="C34" s="96" t="s">
        <v>99</v>
      </c>
      <c r="D34" s="97">
        <v>44076</v>
      </c>
      <c r="E34" s="96">
        <v>20400</v>
      </c>
      <c r="F34" s="96"/>
      <c r="G34" s="96" t="s">
        <v>97</v>
      </c>
      <c r="H34" s="96" t="s">
        <v>98</v>
      </c>
    </row>
    <row r="35" spans="1:8">
      <c r="A35" s="96" t="s">
        <v>73</v>
      </c>
      <c r="B35" s="96">
        <v>1528</v>
      </c>
      <c r="C35" s="96" t="s">
        <v>82</v>
      </c>
      <c r="D35" s="97">
        <v>44103</v>
      </c>
      <c r="E35" s="96">
        <v>4600</v>
      </c>
      <c r="F35" s="96" t="s">
        <v>89</v>
      </c>
      <c r="G35" s="96" t="s">
        <v>100</v>
      </c>
      <c r="H35" s="97">
        <v>44103</v>
      </c>
    </row>
    <row r="36" spans="1:8">
      <c r="A36" s="87" t="s">
        <v>73</v>
      </c>
      <c r="B36" s="87">
        <v>1529</v>
      </c>
      <c r="C36" s="87" t="s">
        <v>101</v>
      </c>
      <c r="D36" s="102">
        <v>44104</v>
      </c>
      <c r="E36" s="87">
        <v>9000</v>
      </c>
      <c r="F36" s="87" t="s">
        <v>8</v>
      </c>
      <c r="G36" s="87" t="s">
        <v>97</v>
      </c>
      <c r="H36" s="102">
        <v>44104</v>
      </c>
    </row>
    <row r="37" spans="1:8">
      <c r="A37" s="114" t="s">
        <v>73</v>
      </c>
      <c r="B37" s="114">
        <v>1530</v>
      </c>
      <c r="C37" s="114" t="s">
        <v>102</v>
      </c>
      <c r="D37" s="115">
        <v>44104</v>
      </c>
      <c r="E37" s="114">
        <v>5000</v>
      </c>
      <c r="F37" s="114" t="s">
        <v>8</v>
      </c>
      <c r="G37" s="114" t="s">
        <v>97</v>
      </c>
      <c r="H37" s="115">
        <v>44104</v>
      </c>
    </row>
    <row r="38" spans="1:8">
      <c r="A38" s="87" t="s">
        <v>73</v>
      </c>
      <c r="B38" s="87">
        <v>1531</v>
      </c>
      <c r="C38" s="87" t="s">
        <v>103</v>
      </c>
      <c r="D38" s="102">
        <v>44104</v>
      </c>
      <c r="E38" s="87">
        <v>7500</v>
      </c>
      <c r="F38" s="87" t="s">
        <v>8</v>
      </c>
      <c r="G38" s="87" t="s">
        <v>104</v>
      </c>
      <c r="H38" s="102">
        <v>44104</v>
      </c>
    </row>
    <row r="39" spans="1:8">
      <c r="A39" s="87" t="s">
        <v>73</v>
      </c>
      <c r="B39" s="87">
        <v>1532</v>
      </c>
      <c r="C39" s="87" t="s">
        <v>86</v>
      </c>
      <c r="D39" s="102">
        <v>44104</v>
      </c>
      <c r="E39" s="87">
        <v>4800</v>
      </c>
      <c r="F39" s="87" t="s">
        <v>8</v>
      </c>
      <c r="G39" s="107" t="s">
        <v>105</v>
      </c>
      <c r="H39" s="102">
        <v>44104</v>
      </c>
    </row>
    <row r="40" spans="1:8">
      <c r="A40" s="99" t="s">
        <v>73</v>
      </c>
      <c r="B40" s="99">
        <v>1533</v>
      </c>
      <c r="C40" s="116" t="s">
        <v>88</v>
      </c>
      <c r="D40" s="100">
        <v>44104</v>
      </c>
      <c r="E40" s="99">
        <v>10500</v>
      </c>
      <c r="F40" s="99" t="s">
        <v>25</v>
      </c>
      <c r="G40" s="99" t="s">
        <v>105</v>
      </c>
      <c r="H40" s="109">
        <v>44104</v>
      </c>
    </row>
    <row r="41" spans="1:8">
      <c r="A41" s="87" t="s">
        <v>73</v>
      </c>
      <c r="B41" s="87">
        <v>1534</v>
      </c>
      <c r="C41" s="87" t="s">
        <v>87</v>
      </c>
      <c r="D41" s="102">
        <v>44104</v>
      </c>
      <c r="E41" s="87">
        <v>1100</v>
      </c>
      <c r="F41" s="87" t="s">
        <v>91</v>
      </c>
      <c r="G41" s="87" t="s">
        <v>100</v>
      </c>
      <c r="H41" s="102">
        <v>44104</v>
      </c>
    </row>
    <row r="42" spans="1:8">
      <c r="A42" s="87" t="s">
        <v>73</v>
      </c>
      <c r="B42" s="87">
        <v>1535</v>
      </c>
      <c r="C42" s="87" t="s">
        <v>81</v>
      </c>
      <c r="D42" s="102">
        <v>44104</v>
      </c>
      <c r="E42" s="87">
        <v>1800</v>
      </c>
      <c r="F42" s="87" t="s">
        <v>92</v>
      </c>
      <c r="G42" s="87" t="s">
        <v>100</v>
      </c>
      <c r="H42" s="102">
        <v>44104</v>
      </c>
    </row>
    <row r="43" spans="1:8">
      <c r="A43" s="108" t="s">
        <v>73</v>
      </c>
      <c r="B43" s="108">
        <v>1536</v>
      </c>
      <c r="C43" s="108" t="s">
        <v>80</v>
      </c>
      <c r="D43" s="109">
        <v>44104</v>
      </c>
      <c r="E43" s="108">
        <v>1500</v>
      </c>
      <c r="F43" s="108" t="s">
        <v>3</v>
      </c>
      <c r="G43" s="108" t="s">
        <v>100</v>
      </c>
      <c r="H43" s="109">
        <v>44104</v>
      </c>
    </row>
    <row r="44" spans="1:8">
      <c r="A44" s="94" t="s">
        <v>73</v>
      </c>
      <c r="B44" s="94">
        <v>1537</v>
      </c>
      <c r="C44" s="94" t="s">
        <v>77</v>
      </c>
      <c r="D44" s="95">
        <v>44104</v>
      </c>
      <c r="E44" s="94">
        <v>2500</v>
      </c>
      <c r="F44" s="94" t="s">
        <v>91</v>
      </c>
      <c r="G44" s="94" t="s">
        <v>105</v>
      </c>
      <c r="H44" s="95">
        <v>44104</v>
      </c>
    </row>
    <row r="45" spans="1:8">
      <c r="A45" s="96" t="s">
        <v>73</v>
      </c>
      <c r="B45" s="96">
        <v>1538</v>
      </c>
      <c r="C45" s="96" t="s">
        <v>79</v>
      </c>
      <c r="D45" s="97">
        <v>44104</v>
      </c>
      <c r="E45" s="96">
        <v>1500</v>
      </c>
      <c r="F45" s="96" t="s">
        <v>3</v>
      </c>
      <c r="G45" s="96" t="s">
        <v>100</v>
      </c>
      <c r="H45" s="97">
        <v>44104</v>
      </c>
    </row>
    <row r="46" spans="1:8">
      <c r="A46" t="s">
        <v>73</v>
      </c>
      <c r="B46">
        <v>1539</v>
      </c>
      <c r="C46" t="s">
        <v>76</v>
      </c>
      <c r="D46" s="92">
        <v>44104</v>
      </c>
      <c r="E46">
        <v>3000</v>
      </c>
      <c r="F46" t="s">
        <v>93</v>
      </c>
      <c r="G46" t="s">
        <v>100</v>
      </c>
      <c r="H46" s="92">
        <v>44104</v>
      </c>
    </row>
    <row r="47" spans="1:8">
      <c r="A47" t="s">
        <v>73</v>
      </c>
      <c r="B47">
        <v>1540</v>
      </c>
      <c r="C47" t="s">
        <v>74</v>
      </c>
      <c r="D47" s="92">
        <v>44104</v>
      </c>
      <c r="E47">
        <v>3100</v>
      </c>
      <c r="F47" t="s">
        <v>93</v>
      </c>
      <c r="G47" t="s">
        <v>100</v>
      </c>
      <c r="H47" s="92">
        <v>44104</v>
      </c>
    </row>
    <row r="48" spans="1:8">
      <c r="A48" s="87" t="s">
        <v>73</v>
      </c>
      <c r="B48" s="87">
        <v>1541</v>
      </c>
      <c r="C48" s="87" t="s">
        <v>106</v>
      </c>
      <c r="D48" s="102">
        <v>44104</v>
      </c>
      <c r="E48" s="87">
        <v>17500</v>
      </c>
      <c r="F48" s="87" t="s">
        <v>107</v>
      </c>
      <c r="G48" s="87" t="s">
        <v>108</v>
      </c>
      <c r="H48" s="87"/>
    </row>
    <row r="49" spans="1:8">
      <c r="A49" s="87" t="s">
        <v>73</v>
      </c>
      <c r="B49" s="87">
        <v>1542</v>
      </c>
      <c r="C49" s="87" t="s">
        <v>109</v>
      </c>
      <c r="D49" s="102">
        <v>44104</v>
      </c>
      <c r="E49" s="87">
        <v>17500</v>
      </c>
      <c r="F49" s="87" t="s">
        <v>91</v>
      </c>
      <c r="G49" s="87" t="s">
        <v>108</v>
      </c>
      <c r="H49" s="87"/>
    </row>
    <row r="50" spans="1:8">
      <c r="A50" s="99" t="s">
        <v>73</v>
      </c>
      <c r="B50" s="99">
        <v>1543</v>
      </c>
      <c r="C50" s="99" t="s">
        <v>110</v>
      </c>
      <c r="D50" s="100">
        <v>44104</v>
      </c>
      <c r="E50" s="99">
        <v>17500</v>
      </c>
      <c r="F50" s="99" t="s">
        <v>91</v>
      </c>
      <c r="G50" s="99" t="s">
        <v>108</v>
      </c>
      <c r="H50" s="99"/>
    </row>
    <row r="51" spans="1:8">
      <c r="A51" s="87" t="s">
        <v>73</v>
      </c>
      <c r="B51" s="87">
        <v>1544</v>
      </c>
      <c r="C51" s="87" t="s">
        <v>82</v>
      </c>
      <c r="D51" s="102">
        <v>44130</v>
      </c>
      <c r="E51" s="87">
        <v>4600</v>
      </c>
      <c r="F51" s="87" t="s">
        <v>89</v>
      </c>
      <c r="G51" s="87" t="s">
        <v>111</v>
      </c>
      <c r="H51" s="102">
        <v>44130</v>
      </c>
    </row>
    <row r="52" spans="1:8">
      <c r="A52" s="87" t="s">
        <v>73</v>
      </c>
      <c r="B52" s="87">
        <v>1545</v>
      </c>
      <c r="C52" s="87" t="s">
        <v>109</v>
      </c>
      <c r="D52" s="102">
        <v>44130</v>
      </c>
      <c r="E52" s="87">
        <v>2500</v>
      </c>
      <c r="F52" s="87" t="s">
        <v>91</v>
      </c>
      <c r="G52" s="87" t="s">
        <v>111</v>
      </c>
      <c r="H52" s="102">
        <v>44131</v>
      </c>
    </row>
    <row r="53" spans="1:8">
      <c r="A53" s="96" t="s">
        <v>73</v>
      </c>
      <c r="B53" s="96">
        <v>1546</v>
      </c>
      <c r="C53" s="96" t="s">
        <v>87</v>
      </c>
      <c r="D53" s="97">
        <v>44130</v>
      </c>
      <c r="E53" s="96">
        <v>1100</v>
      </c>
      <c r="F53" s="96" t="s">
        <v>91</v>
      </c>
      <c r="G53" s="96" t="s">
        <v>111</v>
      </c>
      <c r="H53" s="97">
        <v>44130</v>
      </c>
    </row>
    <row r="54" spans="1:8">
      <c r="A54" s="87" t="s">
        <v>73</v>
      </c>
      <c r="B54" s="87">
        <v>1547</v>
      </c>
      <c r="C54" s="87" t="s">
        <v>81</v>
      </c>
      <c r="D54" s="102">
        <v>44130</v>
      </c>
      <c r="E54" s="87">
        <v>1800</v>
      </c>
      <c r="F54" s="87" t="s">
        <v>92</v>
      </c>
      <c r="G54" s="87" t="s">
        <v>111</v>
      </c>
      <c r="H54" s="102">
        <v>44130</v>
      </c>
    </row>
    <row r="55" spans="1:8">
      <c r="A55" s="87" t="s">
        <v>73</v>
      </c>
      <c r="B55" s="87">
        <v>1548</v>
      </c>
      <c r="C55" s="87" t="s">
        <v>99</v>
      </c>
      <c r="D55" s="102">
        <v>44130</v>
      </c>
      <c r="E55" s="87">
        <v>3400</v>
      </c>
      <c r="F55" s="87" t="s">
        <v>112</v>
      </c>
      <c r="G55" s="87" t="s">
        <v>111</v>
      </c>
      <c r="H55" s="102">
        <v>44131</v>
      </c>
    </row>
    <row r="56" spans="1:8">
      <c r="A56" s="108" t="s">
        <v>73</v>
      </c>
      <c r="B56" s="108">
        <v>1549</v>
      </c>
      <c r="C56" s="108" t="s">
        <v>80</v>
      </c>
      <c r="D56" s="109">
        <v>44130</v>
      </c>
      <c r="E56" s="108">
        <v>1500</v>
      </c>
      <c r="F56" s="108" t="s">
        <v>3</v>
      </c>
      <c r="G56" s="108" t="s">
        <v>111</v>
      </c>
      <c r="H56" s="109">
        <v>44131</v>
      </c>
    </row>
    <row r="57" spans="1:8">
      <c r="A57" s="87" t="s">
        <v>73</v>
      </c>
      <c r="B57" s="87">
        <v>1550</v>
      </c>
      <c r="C57" s="87" t="s">
        <v>79</v>
      </c>
      <c r="D57" s="102">
        <v>44130</v>
      </c>
      <c r="E57" s="87">
        <v>1500</v>
      </c>
      <c r="F57" s="87" t="s">
        <v>3</v>
      </c>
      <c r="G57" s="87" t="s">
        <v>111</v>
      </c>
      <c r="H57" s="102">
        <v>44131</v>
      </c>
    </row>
    <row r="58" spans="1:8">
      <c r="A58" s="96" t="s">
        <v>73</v>
      </c>
      <c r="B58" s="96">
        <v>1551</v>
      </c>
      <c r="C58" s="96" t="s">
        <v>96</v>
      </c>
      <c r="D58" s="97">
        <v>44130</v>
      </c>
      <c r="E58" s="96">
        <v>3400</v>
      </c>
      <c r="F58" s="96" t="s">
        <v>112</v>
      </c>
      <c r="G58" s="96" t="s">
        <v>111</v>
      </c>
      <c r="H58" s="97">
        <v>44131</v>
      </c>
    </row>
    <row r="59" spans="1:8">
      <c r="A59" s="96" t="s">
        <v>73</v>
      </c>
      <c r="B59" s="96">
        <v>1552</v>
      </c>
      <c r="C59" s="96" t="s">
        <v>106</v>
      </c>
      <c r="D59" s="97">
        <v>44130</v>
      </c>
      <c r="E59" s="96">
        <v>2500</v>
      </c>
      <c r="F59" s="96" t="s">
        <v>107</v>
      </c>
      <c r="G59" s="96" t="s">
        <v>111</v>
      </c>
      <c r="H59" s="97">
        <v>44131</v>
      </c>
    </row>
    <row r="60" spans="1:8">
      <c r="A60" s="96" t="s">
        <v>73</v>
      </c>
      <c r="B60" s="96">
        <v>1553</v>
      </c>
      <c r="C60" s="96" t="s">
        <v>76</v>
      </c>
      <c r="D60" s="97">
        <v>44130</v>
      </c>
      <c r="E60" s="96">
        <v>3000</v>
      </c>
      <c r="F60" s="96" t="s">
        <v>93</v>
      </c>
      <c r="G60" s="96" t="s">
        <v>111</v>
      </c>
      <c r="H60" s="97">
        <v>44131</v>
      </c>
    </row>
    <row r="61" spans="1:8">
      <c r="A61" s="108" t="s">
        <v>73</v>
      </c>
      <c r="B61" s="108">
        <v>1554</v>
      </c>
      <c r="C61" s="108" t="s">
        <v>74</v>
      </c>
      <c r="D61" s="109">
        <v>44130</v>
      </c>
      <c r="E61" s="108">
        <v>3100</v>
      </c>
      <c r="F61" s="108" t="s">
        <v>93</v>
      </c>
      <c r="G61" s="108" t="s">
        <v>111</v>
      </c>
      <c r="H61" s="109">
        <v>44131</v>
      </c>
    </row>
    <row r="62" spans="1:8">
      <c r="A62" s="108" t="s">
        <v>73</v>
      </c>
      <c r="B62" s="108">
        <v>1556</v>
      </c>
      <c r="C62" s="108" t="s">
        <v>110</v>
      </c>
      <c r="D62" s="109">
        <v>44131</v>
      </c>
      <c r="E62" s="108">
        <v>2500</v>
      </c>
      <c r="F62" s="108" t="s">
        <v>107</v>
      </c>
      <c r="G62" s="108" t="s">
        <v>111</v>
      </c>
      <c r="H62" s="109">
        <v>44131</v>
      </c>
    </row>
    <row r="63" spans="1:8">
      <c r="A63" s="87" t="s">
        <v>73</v>
      </c>
      <c r="B63" s="87">
        <v>1557</v>
      </c>
      <c r="C63" s="87" t="s">
        <v>82</v>
      </c>
      <c r="D63" s="102">
        <v>44160</v>
      </c>
      <c r="E63" s="87">
        <v>4600</v>
      </c>
      <c r="F63" s="87" t="s">
        <v>89</v>
      </c>
      <c r="G63" s="87" t="s">
        <v>113</v>
      </c>
      <c r="H63" s="102">
        <v>44160</v>
      </c>
    </row>
    <row r="64" spans="1:8">
      <c r="A64" s="87" t="s">
        <v>73</v>
      </c>
      <c r="B64" s="87">
        <v>1558</v>
      </c>
      <c r="C64" s="87" t="s">
        <v>109</v>
      </c>
      <c r="D64" s="102">
        <v>44160</v>
      </c>
      <c r="E64" s="87">
        <v>2500</v>
      </c>
      <c r="F64" s="87" t="s">
        <v>91</v>
      </c>
      <c r="G64" s="87" t="s">
        <v>113</v>
      </c>
      <c r="H64" s="102">
        <v>44160</v>
      </c>
    </row>
    <row r="65" spans="1:9">
      <c r="A65" s="96" t="s">
        <v>73</v>
      </c>
      <c r="B65" s="96">
        <v>1559</v>
      </c>
      <c r="C65" s="96" t="s">
        <v>87</v>
      </c>
      <c r="D65" s="97">
        <v>44160</v>
      </c>
      <c r="E65" s="96">
        <v>1100</v>
      </c>
      <c r="F65" s="96" t="s">
        <v>91</v>
      </c>
      <c r="G65" s="96" t="s">
        <v>113</v>
      </c>
      <c r="H65" s="97">
        <v>44160</v>
      </c>
    </row>
    <row r="66" spans="1:9">
      <c r="A66" s="87" t="s">
        <v>73</v>
      </c>
      <c r="B66" s="87">
        <v>1560</v>
      </c>
      <c r="C66" s="87" t="s">
        <v>81</v>
      </c>
      <c r="D66" s="102">
        <v>44160</v>
      </c>
      <c r="E66" s="87">
        <v>1800</v>
      </c>
      <c r="F66" s="87" t="s">
        <v>92</v>
      </c>
      <c r="G66" s="87" t="s">
        <v>113</v>
      </c>
      <c r="H66" s="102">
        <v>44160</v>
      </c>
    </row>
    <row r="67" spans="1:9">
      <c r="A67" s="87" t="s">
        <v>73</v>
      </c>
      <c r="B67" s="87">
        <v>1561</v>
      </c>
      <c r="C67" s="87" t="s">
        <v>99</v>
      </c>
      <c r="D67" s="102">
        <v>44160</v>
      </c>
      <c r="E67" s="87">
        <v>3400</v>
      </c>
      <c r="F67" s="87" t="s">
        <v>112</v>
      </c>
      <c r="G67" s="87" t="s">
        <v>113</v>
      </c>
      <c r="H67" s="102">
        <v>44160</v>
      </c>
    </row>
    <row r="68" spans="1:9">
      <c r="A68" s="108" t="s">
        <v>73</v>
      </c>
      <c r="B68" s="108">
        <v>1562</v>
      </c>
      <c r="C68" s="108" t="s">
        <v>80</v>
      </c>
      <c r="D68" s="109">
        <v>44160</v>
      </c>
      <c r="E68" s="108">
        <v>1500</v>
      </c>
      <c r="F68" s="108" t="s">
        <v>3</v>
      </c>
      <c r="G68" s="108" t="s">
        <v>113</v>
      </c>
      <c r="H68" s="109">
        <v>44160</v>
      </c>
    </row>
    <row r="69" spans="1:9">
      <c r="A69" s="87" t="s">
        <v>73</v>
      </c>
      <c r="B69" s="87">
        <v>1563</v>
      </c>
      <c r="C69" s="87" t="s">
        <v>79</v>
      </c>
      <c r="D69" s="102">
        <v>44160</v>
      </c>
      <c r="E69" s="87">
        <v>1500</v>
      </c>
      <c r="F69" s="87" t="s">
        <v>3</v>
      </c>
      <c r="G69" s="87" t="s">
        <v>113</v>
      </c>
      <c r="H69" s="102">
        <v>44160</v>
      </c>
    </row>
    <row r="70" spans="1:9">
      <c r="A70" s="96" t="s">
        <v>73</v>
      </c>
      <c r="B70" s="96">
        <v>1564</v>
      </c>
      <c r="C70" s="96" t="s">
        <v>96</v>
      </c>
      <c r="D70" s="97">
        <v>44160</v>
      </c>
      <c r="E70" s="96">
        <v>3400</v>
      </c>
      <c r="F70" s="96" t="s">
        <v>112</v>
      </c>
      <c r="G70" s="96" t="s">
        <v>113</v>
      </c>
      <c r="H70" s="97">
        <v>44160</v>
      </c>
    </row>
    <row r="71" spans="1:9">
      <c r="A71" s="96" t="s">
        <v>73</v>
      </c>
      <c r="B71" s="96">
        <v>1565</v>
      </c>
      <c r="C71" s="96" t="s">
        <v>106</v>
      </c>
      <c r="D71" s="97">
        <v>44160</v>
      </c>
      <c r="E71" s="96">
        <v>2500</v>
      </c>
      <c r="F71" s="96" t="s">
        <v>107</v>
      </c>
      <c r="G71" s="96" t="s">
        <v>113</v>
      </c>
      <c r="H71" s="97">
        <v>44160</v>
      </c>
    </row>
    <row r="72" spans="1:9">
      <c r="A72" s="96" t="s">
        <v>73</v>
      </c>
      <c r="B72" s="96">
        <v>1566</v>
      </c>
      <c r="C72" s="96" t="s">
        <v>76</v>
      </c>
      <c r="D72" s="97">
        <v>44160</v>
      </c>
      <c r="E72" s="96">
        <v>3000</v>
      </c>
      <c r="F72" s="96" t="s">
        <v>93</v>
      </c>
      <c r="G72" s="96" t="s">
        <v>113</v>
      </c>
      <c r="H72" s="97">
        <v>44160</v>
      </c>
    </row>
    <row r="73" spans="1:9">
      <c r="A73" s="108" t="s">
        <v>73</v>
      </c>
      <c r="B73" s="108">
        <v>1567</v>
      </c>
      <c r="C73" s="108" t="s">
        <v>74</v>
      </c>
      <c r="D73" s="109">
        <v>44160</v>
      </c>
      <c r="E73" s="108">
        <v>3100</v>
      </c>
      <c r="F73" s="108" t="s">
        <v>93</v>
      </c>
      <c r="G73" s="108" t="s">
        <v>113</v>
      </c>
      <c r="H73" s="109">
        <v>44160</v>
      </c>
    </row>
    <row r="74" spans="1:9">
      <c r="A74" s="87" t="s">
        <v>73</v>
      </c>
      <c r="B74" s="87">
        <v>1568</v>
      </c>
      <c r="C74" s="87" t="s">
        <v>110</v>
      </c>
      <c r="D74" s="102">
        <v>44160</v>
      </c>
      <c r="E74" s="87">
        <v>2500</v>
      </c>
      <c r="F74" s="87" t="s">
        <v>107</v>
      </c>
      <c r="G74" s="87" t="s">
        <v>113</v>
      </c>
      <c r="H74" s="102">
        <v>44160</v>
      </c>
    </row>
    <row r="75" spans="1:9">
      <c r="A75" s="96" t="s">
        <v>114</v>
      </c>
      <c r="B75" s="96" t="s">
        <v>114</v>
      </c>
      <c r="C75" s="96" t="s">
        <v>114</v>
      </c>
      <c r="D75" s="96" t="s">
        <v>114</v>
      </c>
      <c r="E75" s="96" t="s">
        <v>114</v>
      </c>
      <c r="F75" s="96" t="s">
        <v>114</v>
      </c>
      <c r="G75" s="96" t="s">
        <v>114</v>
      </c>
      <c r="H75" s="96" t="s">
        <v>114</v>
      </c>
    </row>
    <row r="76" spans="1:9">
      <c r="A76" t="s">
        <v>115</v>
      </c>
      <c r="B76">
        <v>2101</v>
      </c>
      <c r="C76" t="s">
        <v>116</v>
      </c>
      <c r="D76" s="92">
        <v>43921</v>
      </c>
      <c r="E76">
        <v>14863</v>
      </c>
      <c r="G76" t="s">
        <v>117</v>
      </c>
    </row>
    <row r="77" spans="1:9">
      <c r="A77" t="s">
        <v>115</v>
      </c>
      <c r="B77">
        <v>2102</v>
      </c>
      <c r="C77" t="s">
        <v>118</v>
      </c>
      <c r="D77" s="92">
        <v>43921</v>
      </c>
      <c r="E77">
        <v>6460</v>
      </c>
      <c r="G77" t="s">
        <v>117</v>
      </c>
    </row>
    <row r="78" spans="1:9">
      <c r="A78" s="94" t="s">
        <v>115</v>
      </c>
      <c r="B78" s="94">
        <v>2103</v>
      </c>
      <c r="C78" s="94" t="s">
        <v>119</v>
      </c>
      <c r="D78" s="95">
        <v>43921</v>
      </c>
      <c r="E78" s="94">
        <v>9675</v>
      </c>
      <c r="F78" s="94"/>
      <c r="G78" s="94" t="s">
        <v>117</v>
      </c>
      <c r="H78" s="94"/>
      <c r="I78" s="87" t="s">
        <v>120</v>
      </c>
    </row>
    <row r="79" spans="1:9">
      <c r="A79" t="s">
        <v>115</v>
      </c>
      <c r="B79">
        <v>2104</v>
      </c>
      <c r="C79" t="s">
        <v>121</v>
      </c>
      <c r="D79" s="92">
        <v>43921</v>
      </c>
      <c r="E79">
        <v>8838</v>
      </c>
      <c r="G79" t="s">
        <v>117</v>
      </c>
    </row>
    <row r="80" spans="1:9">
      <c r="A80" s="87" t="s">
        <v>115</v>
      </c>
      <c r="B80" s="87">
        <v>2105</v>
      </c>
      <c r="C80" s="87" t="s">
        <v>122</v>
      </c>
      <c r="D80" s="102">
        <v>43921</v>
      </c>
      <c r="E80" s="87">
        <v>1284</v>
      </c>
      <c r="F80" s="87"/>
      <c r="G80" s="87" t="s">
        <v>117</v>
      </c>
      <c r="H80" s="87"/>
    </row>
    <row r="81" spans="1:9">
      <c r="A81" s="89" t="s">
        <v>115</v>
      </c>
      <c r="B81" s="89">
        <v>2106</v>
      </c>
      <c r="C81" s="89" t="s">
        <v>123</v>
      </c>
      <c r="D81" s="90">
        <v>43921</v>
      </c>
      <c r="E81" s="89">
        <v>65963</v>
      </c>
      <c r="F81" s="89"/>
      <c r="G81" s="89" t="s">
        <v>117</v>
      </c>
      <c r="H81" s="89"/>
    </row>
    <row r="82" spans="1:9">
      <c r="A82" s="89" t="s">
        <v>115</v>
      </c>
      <c r="B82" s="89">
        <v>2107</v>
      </c>
      <c r="C82" s="89" t="s">
        <v>124</v>
      </c>
      <c r="D82" s="90">
        <v>43921</v>
      </c>
      <c r="E82" s="89">
        <v>3300</v>
      </c>
      <c r="F82" s="89"/>
      <c r="G82" s="89" t="s">
        <v>117</v>
      </c>
      <c r="H82" s="89"/>
    </row>
    <row r="83" spans="1:9">
      <c r="A83" s="87" t="s">
        <v>115</v>
      </c>
      <c r="B83" s="87">
        <v>2108</v>
      </c>
      <c r="C83" s="87" t="s">
        <v>125</v>
      </c>
      <c r="D83" s="102">
        <v>43921</v>
      </c>
      <c r="E83" s="87">
        <v>2275</v>
      </c>
      <c r="F83" s="87"/>
      <c r="G83" s="87" t="s">
        <v>117</v>
      </c>
      <c r="H83" s="87"/>
    </row>
    <row r="84" spans="1:9">
      <c r="A84" s="94" t="s">
        <v>115</v>
      </c>
      <c r="B84" s="94">
        <v>2109</v>
      </c>
      <c r="C84" s="94" t="s">
        <v>126</v>
      </c>
      <c r="D84" s="95">
        <v>43921</v>
      </c>
      <c r="E84" s="94">
        <v>18050</v>
      </c>
      <c r="F84" s="94"/>
      <c r="G84" s="94" t="s">
        <v>117</v>
      </c>
      <c r="H84" s="117"/>
      <c r="I84" s="87"/>
    </row>
    <row r="85" spans="1:9">
      <c r="A85" s="87" t="s">
        <v>115</v>
      </c>
      <c r="B85" s="87">
        <v>2112</v>
      </c>
      <c r="C85" s="87" t="s">
        <v>127</v>
      </c>
      <c r="D85" s="102">
        <v>43921</v>
      </c>
      <c r="E85" s="87">
        <v>5400</v>
      </c>
      <c r="F85" s="87"/>
      <c r="G85" s="107" t="s">
        <v>75</v>
      </c>
      <c r="H85" s="102">
        <v>43984</v>
      </c>
    </row>
    <row r="86" spans="1:9">
      <c r="A86" s="87" t="s">
        <v>115</v>
      </c>
      <c r="B86" s="87">
        <v>2113</v>
      </c>
      <c r="C86" s="87" t="s">
        <v>128</v>
      </c>
      <c r="D86" s="102">
        <v>43921</v>
      </c>
      <c r="E86" s="87">
        <v>9200</v>
      </c>
      <c r="F86" s="87"/>
      <c r="G86" s="107" t="s">
        <v>75</v>
      </c>
      <c r="H86" s="102">
        <v>43984</v>
      </c>
    </row>
    <row r="87" spans="1:9">
      <c r="A87" s="87" t="s">
        <v>115</v>
      </c>
      <c r="B87" s="87">
        <v>2114</v>
      </c>
      <c r="C87" s="87" t="s">
        <v>129</v>
      </c>
      <c r="D87" s="102">
        <v>43921</v>
      </c>
      <c r="E87" s="87">
        <v>500</v>
      </c>
      <c r="F87" s="87"/>
      <c r="G87" s="107" t="s">
        <v>75</v>
      </c>
      <c r="H87" s="102">
        <v>43984</v>
      </c>
    </row>
    <row r="88" spans="1:9">
      <c r="A88" s="87" t="s">
        <v>115</v>
      </c>
      <c r="B88" s="87">
        <v>2115</v>
      </c>
      <c r="C88" s="87" t="s">
        <v>130</v>
      </c>
      <c r="D88" s="102">
        <v>43921</v>
      </c>
      <c r="E88" s="87">
        <v>1500</v>
      </c>
      <c r="F88" s="87"/>
      <c r="G88" s="107" t="s">
        <v>75</v>
      </c>
      <c r="H88" s="102">
        <v>43984</v>
      </c>
    </row>
    <row r="89" spans="1:9">
      <c r="A89" s="87" t="s">
        <v>115</v>
      </c>
      <c r="B89" s="87">
        <v>2116</v>
      </c>
      <c r="C89" s="87" t="s">
        <v>131</v>
      </c>
      <c r="D89" s="102">
        <v>43921</v>
      </c>
      <c r="E89" s="87">
        <v>1100</v>
      </c>
      <c r="F89" s="87"/>
      <c r="G89" s="107" t="s">
        <v>75</v>
      </c>
      <c r="H89" s="102">
        <v>43984</v>
      </c>
    </row>
    <row r="90" spans="1:9">
      <c r="A90" s="87" t="s">
        <v>115</v>
      </c>
      <c r="B90" s="87">
        <v>2117</v>
      </c>
      <c r="C90" s="118" t="s">
        <v>132</v>
      </c>
      <c r="D90" s="102">
        <v>43921</v>
      </c>
      <c r="E90" s="87">
        <v>2600</v>
      </c>
      <c r="F90" s="87"/>
      <c r="G90" s="107" t="s">
        <v>75</v>
      </c>
      <c r="H90" s="102">
        <v>43985</v>
      </c>
    </row>
    <row r="91" spans="1:9">
      <c r="A91" s="87" t="s">
        <v>115</v>
      </c>
      <c r="B91" s="87">
        <v>2118</v>
      </c>
      <c r="C91" s="87" t="s">
        <v>133</v>
      </c>
      <c r="D91" s="102">
        <v>43921</v>
      </c>
      <c r="E91" s="87">
        <v>2000</v>
      </c>
      <c r="F91" s="87"/>
      <c r="G91" s="107" t="s">
        <v>75</v>
      </c>
      <c r="H91" s="102">
        <v>43989</v>
      </c>
    </row>
    <row r="92" spans="1:9">
      <c r="A92" s="94" t="s">
        <v>115</v>
      </c>
      <c r="B92" s="94">
        <v>2119</v>
      </c>
      <c r="C92" s="94" t="s">
        <v>134</v>
      </c>
      <c r="D92" s="95">
        <v>43921</v>
      </c>
      <c r="E92" s="94">
        <v>3100</v>
      </c>
      <c r="F92" s="94" t="s">
        <v>135</v>
      </c>
      <c r="G92" s="111" t="s">
        <v>75</v>
      </c>
      <c r="H92" s="95">
        <v>44014</v>
      </c>
      <c r="I92" t="s">
        <v>136</v>
      </c>
    </row>
    <row r="93" spans="1:9">
      <c r="A93" s="96" t="s">
        <v>115</v>
      </c>
      <c r="B93" s="96">
        <v>2120</v>
      </c>
      <c r="C93" s="119" t="s">
        <v>137</v>
      </c>
      <c r="D93" s="97">
        <v>43921</v>
      </c>
      <c r="E93" s="96">
        <v>3900</v>
      </c>
      <c r="F93" s="96" t="s">
        <v>135</v>
      </c>
      <c r="G93" s="98" t="s">
        <v>75</v>
      </c>
      <c r="H93" s="97">
        <v>44014</v>
      </c>
    </row>
    <row r="94" spans="1:9">
      <c r="A94" s="89" t="s">
        <v>115</v>
      </c>
      <c r="B94" s="89">
        <v>2121</v>
      </c>
      <c r="C94" s="120" t="s">
        <v>138</v>
      </c>
      <c r="D94" s="90">
        <v>43921</v>
      </c>
      <c r="E94" s="89">
        <v>1700</v>
      </c>
      <c r="F94" s="89" t="s">
        <v>139</v>
      </c>
      <c r="G94" s="91" t="s">
        <v>75</v>
      </c>
      <c r="H94" s="95">
        <v>44014</v>
      </c>
    </row>
    <row r="95" spans="1:9">
      <c r="A95" s="87" t="s">
        <v>115</v>
      </c>
      <c r="B95" s="87">
        <v>2122</v>
      </c>
      <c r="C95" s="87" t="s">
        <v>140</v>
      </c>
      <c r="D95" s="102">
        <v>43921</v>
      </c>
      <c r="E95" s="87">
        <v>4000</v>
      </c>
      <c r="F95" s="87" t="s">
        <v>25</v>
      </c>
      <c r="G95" s="107" t="s">
        <v>75</v>
      </c>
      <c r="H95" s="87"/>
    </row>
    <row r="96" spans="1:9">
      <c r="A96" s="89" t="s">
        <v>115</v>
      </c>
      <c r="B96" s="89">
        <v>2123</v>
      </c>
      <c r="C96" s="89" t="s">
        <v>141</v>
      </c>
      <c r="D96" s="90">
        <v>43921</v>
      </c>
      <c r="E96" s="89">
        <v>1700</v>
      </c>
      <c r="F96" s="89" t="s">
        <v>142</v>
      </c>
      <c r="G96" s="91" t="s">
        <v>75</v>
      </c>
      <c r="H96" s="94" t="s">
        <v>143</v>
      </c>
    </row>
    <row r="97" spans="1:9">
      <c r="A97" s="89" t="s">
        <v>115</v>
      </c>
      <c r="B97" s="89">
        <v>3001</v>
      </c>
      <c r="C97" s="89" t="s">
        <v>144</v>
      </c>
      <c r="D97" s="90">
        <v>43977</v>
      </c>
      <c r="E97" s="89">
        <v>33000</v>
      </c>
      <c r="F97" s="89"/>
      <c r="G97" s="89" t="s">
        <v>83</v>
      </c>
      <c r="H97" s="95">
        <v>43977</v>
      </c>
    </row>
    <row r="98" spans="1:9">
      <c r="A98" s="94" t="s">
        <v>115</v>
      </c>
      <c r="B98" s="94">
        <v>3002</v>
      </c>
      <c r="C98" s="94" t="s">
        <v>145</v>
      </c>
      <c r="D98" s="95">
        <v>43977</v>
      </c>
      <c r="E98" s="94">
        <v>1000</v>
      </c>
      <c r="F98" s="94"/>
      <c r="G98" s="94" t="s">
        <v>83</v>
      </c>
      <c r="H98" s="95">
        <v>43977</v>
      </c>
    </row>
    <row r="99" spans="1:9">
      <c r="A99" s="89" t="s">
        <v>115</v>
      </c>
      <c r="B99" s="89">
        <v>3003</v>
      </c>
      <c r="C99" s="89" t="s">
        <v>146</v>
      </c>
      <c r="D99" s="90">
        <v>43977</v>
      </c>
      <c r="E99" s="89">
        <v>3000</v>
      </c>
      <c r="F99" s="89"/>
      <c r="G99" s="89" t="s">
        <v>83</v>
      </c>
      <c r="H99" s="95">
        <v>43977</v>
      </c>
    </row>
    <row r="100" spans="1:9">
      <c r="A100" s="89" t="s">
        <v>115</v>
      </c>
      <c r="B100" s="89">
        <v>3004</v>
      </c>
      <c r="C100" s="89" t="s">
        <v>147</v>
      </c>
      <c r="D100" s="90">
        <v>43978</v>
      </c>
      <c r="E100" s="89">
        <v>10400</v>
      </c>
      <c r="F100" s="89"/>
      <c r="G100" s="89" t="s">
        <v>83</v>
      </c>
      <c r="H100" s="90">
        <v>43978</v>
      </c>
    </row>
    <row r="101" spans="1:9">
      <c r="A101" s="94" t="s">
        <v>115</v>
      </c>
      <c r="B101" s="94">
        <v>3005</v>
      </c>
      <c r="C101" s="121" t="s">
        <v>148</v>
      </c>
      <c r="D101" s="95">
        <v>43978</v>
      </c>
      <c r="E101" s="94">
        <v>8000</v>
      </c>
      <c r="F101" s="94"/>
      <c r="G101" s="94" t="s">
        <v>83</v>
      </c>
      <c r="H101" s="95">
        <v>43978</v>
      </c>
    </row>
    <row r="102" spans="1:9">
      <c r="A102" s="94" t="s">
        <v>115</v>
      </c>
      <c r="B102" s="94">
        <v>3006</v>
      </c>
      <c r="C102" s="121" t="s">
        <v>149</v>
      </c>
      <c r="D102" s="95">
        <v>43978</v>
      </c>
      <c r="E102" s="94">
        <v>4600</v>
      </c>
      <c r="F102" s="94"/>
      <c r="G102" s="94" t="s">
        <v>83</v>
      </c>
      <c r="H102" s="95">
        <v>43978</v>
      </c>
    </row>
    <row r="103" spans="1:9">
      <c r="A103" s="89" t="s">
        <v>115</v>
      </c>
      <c r="B103" s="89">
        <v>3007</v>
      </c>
      <c r="C103" s="89" t="s">
        <v>150</v>
      </c>
      <c r="D103" s="90">
        <v>43978</v>
      </c>
      <c r="E103" s="89">
        <v>5800</v>
      </c>
      <c r="F103" s="89"/>
      <c r="G103" s="89" t="s">
        <v>83</v>
      </c>
      <c r="H103" s="95">
        <v>43985</v>
      </c>
    </row>
    <row r="104" spans="1:9">
      <c r="A104" t="s">
        <v>115</v>
      </c>
      <c r="B104">
        <v>3008</v>
      </c>
      <c r="C104" s="16" t="s">
        <v>132</v>
      </c>
      <c r="D104" s="92">
        <v>43985</v>
      </c>
      <c r="E104">
        <v>5400</v>
      </c>
      <c r="G104" t="s">
        <v>83</v>
      </c>
      <c r="H104" s="92">
        <v>43985</v>
      </c>
    </row>
    <row r="105" spans="1:9">
      <c r="A105" s="122" t="s">
        <v>115</v>
      </c>
      <c r="B105" s="122">
        <v>3009</v>
      </c>
      <c r="C105" s="122" t="s">
        <v>116</v>
      </c>
      <c r="D105" s="123">
        <v>43987</v>
      </c>
      <c r="E105" s="122">
        <v>4160</v>
      </c>
      <c r="F105" s="122"/>
      <c r="G105" s="122" t="s">
        <v>83</v>
      </c>
      <c r="H105" s="123">
        <v>43987</v>
      </c>
    </row>
    <row r="106" spans="1:9">
      <c r="A106" s="124" t="s">
        <v>115</v>
      </c>
      <c r="B106" s="124">
        <v>3110</v>
      </c>
      <c r="C106" s="124" t="s">
        <v>118</v>
      </c>
      <c r="D106" s="125">
        <v>43987</v>
      </c>
      <c r="E106" s="124">
        <v>1520</v>
      </c>
      <c r="F106" s="124"/>
      <c r="G106" s="124" t="s">
        <v>83</v>
      </c>
      <c r="H106" s="125">
        <v>43987</v>
      </c>
    </row>
    <row r="107" spans="1:9">
      <c r="A107" s="94" t="s">
        <v>115</v>
      </c>
      <c r="B107" s="94">
        <v>3111</v>
      </c>
      <c r="C107" s="94" t="s">
        <v>119</v>
      </c>
      <c r="D107" s="95">
        <v>43987</v>
      </c>
      <c r="E107" s="94">
        <v>2970</v>
      </c>
      <c r="F107" s="94"/>
      <c r="G107" s="94" t="s">
        <v>83</v>
      </c>
      <c r="H107" s="95">
        <v>43987</v>
      </c>
      <c r="I107" s="87" t="s">
        <v>151</v>
      </c>
    </row>
    <row r="108" spans="1:9">
      <c r="A108" s="89" t="s">
        <v>115</v>
      </c>
      <c r="B108" s="89">
        <v>3112</v>
      </c>
      <c r="C108" s="89" t="s">
        <v>121</v>
      </c>
      <c r="D108" s="90">
        <v>43987</v>
      </c>
      <c r="E108" s="89">
        <v>2770</v>
      </c>
      <c r="F108" s="89"/>
      <c r="G108" s="89" t="s">
        <v>83</v>
      </c>
      <c r="H108" s="113">
        <v>43987</v>
      </c>
    </row>
    <row r="109" spans="1:9">
      <c r="A109" s="126" t="s">
        <v>115</v>
      </c>
      <c r="B109" s="126">
        <v>3113</v>
      </c>
      <c r="C109" s="126" t="s">
        <v>122</v>
      </c>
      <c r="D109" s="113">
        <v>43987</v>
      </c>
      <c r="E109" s="126">
        <v>600</v>
      </c>
      <c r="F109" s="126"/>
      <c r="G109" s="126" t="s">
        <v>83</v>
      </c>
      <c r="H109" s="113">
        <v>43987</v>
      </c>
    </row>
    <row r="110" spans="1:9">
      <c r="A110" s="94" t="s">
        <v>115</v>
      </c>
      <c r="B110" s="94">
        <v>3114</v>
      </c>
      <c r="C110" s="94" t="s">
        <v>123</v>
      </c>
      <c r="D110" s="95">
        <v>43987</v>
      </c>
      <c r="E110" s="94">
        <v>22476</v>
      </c>
      <c r="F110" s="94"/>
      <c r="G110" s="94" t="s">
        <v>83</v>
      </c>
      <c r="H110" s="95">
        <v>43987</v>
      </c>
    </row>
    <row r="111" spans="1:9">
      <c r="A111" s="94" t="s">
        <v>115</v>
      </c>
      <c r="B111" s="94">
        <v>3115</v>
      </c>
      <c r="C111" s="94" t="s">
        <v>124</v>
      </c>
      <c r="D111" s="95">
        <v>43987</v>
      </c>
      <c r="E111" s="94">
        <v>1100</v>
      </c>
      <c r="F111" s="94"/>
      <c r="G111" s="94" t="s">
        <v>83</v>
      </c>
      <c r="H111" s="95">
        <v>43987</v>
      </c>
    </row>
    <row r="112" spans="1:9">
      <c r="A112" s="124" t="s">
        <v>115</v>
      </c>
      <c r="B112" s="124">
        <v>3116</v>
      </c>
      <c r="C112" s="124" t="s">
        <v>125</v>
      </c>
      <c r="D112" s="125">
        <v>43987</v>
      </c>
      <c r="E112" s="124">
        <v>900</v>
      </c>
      <c r="F112" s="124"/>
      <c r="G112" s="124" t="s">
        <v>83</v>
      </c>
      <c r="H112" s="125">
        <v>43987</v>
      </c>
    </row>
    <row r="113" spans="1:9">
      <c r="A113" s="94" t="s">
        <v>115</v>
      </c>
      <c r="B113" s="94">
        <v>3117</v>
      </c>
      <c r="C113" s="94" t="s">
        <v>126</v>
      </c>
      <c r="D113" s="95">
        <v>43987</v>
      </c>
      <c r="E113" s="94">
        <v>5040</v>
      </c>
      <c r="F113" s="94"/>
      <c r="G113" s="94" t="s">
        <v>83</v>
      </c>
      <c r="H113" s="127">
        <v>43987</v>
      </c>
      <c r="I113" s="87"/>
    </row>
    <row r="114" spans="1:9">
      <c r="A114" s="87" t="s">
        <v>115</v>
      </c>
      <c r="B114" s="87">
        <v>3118</v>
      </c>
      <c r="C114" s="87" t="s">
        <v>133</v>
      </c>
      <c r="D114" s="102">
        <v>43989</v>
      </c>
      <c r="E114" s="87">
        <v>4200</v>
      </c>
      <c r="F114" s="87"/>
      <c r="G114" s="87" t="s">
        <v>83</v>
      </c>
      <c r="H114" s="102">
        <v>43989</v>
      </c>
    </row>
    <row r="115" spans="1:9">
      <c r="A115" s="126" t="s">
        <v>115</v>
      </c>
      <c r="B115" s="126">
        <v>3119</v>
      </c>
      <c r="C115" s="128" t="s">
        <v>152</v>
      </c>
      <c r="D115" s="113">
        <v>44008</v>
      </c>
      <c r="E115" s="126">
        <v>10500</v>
      </c>
      <c r="F115" s="126"/>
      <c r="G115" s="126" t="s">
        <v>84</v>
      </c>
      <c r="H115" s="113">
        <v>44008</v>
      </c>
    </row>
    <row r="116" spans="1:9">
      <c r="A116" s="87" t="s">
        <v>115</v>
      </c>
      <c r="B116" s="87">
        <v>3120</v>
      </c>
      <c r="C116" s="129" t="s">
        <v>153</v>
      </c>
      <c r="D116" s="102">
        <v>44011</v>
      </c>
      <c r="E116" s="87">
        <v>6000</v>
      </c>
      <c r="F116" s="87"/>
      <c r="G116" s="87" t="s">
        <v>84</v>
      </c>
      <c r="H116" s="102">
        <v>44011</v>
      </c>
    </row>
    <row r="117" spans="1:9">
      <c r="A117" s="96" t="s">
        <v>115</v>
      </c>
      <c r="B117" s="96">
        <v>3121</v>
      </c>
      <c r="C117" s="130" t="s">
        <v>154</v>
      </c>
      <c r="D117" s="97">
        <v>44011</v>
      </c>
      <c r="E117" s="96">
        <v>7200</v>
      </c>
      <c r="F117" s="96"/>
      <c r="G117" s="96" t="s">
        <v>84</v>
      </c>
      <c r="H117" s="97">
        <v>44011</v>
      </c>
    </row>
    <row r="118" spans="1:9">
      <c r="A118" s="94" t="s">
        <v>115</v>
      </c>
      <c r="B118" s="94">
        <v>3122</v>
      </c>
      <c r="C118" s="87" t="s">
        <v>155</v>
      </c>
      <c r="D118" s="95">
        <v>44011</v>
      </c>
      <c r="E118" s="94">
        <v>8700</v>
      </c>
      <c r="F118" s="94"/>
      <c r="G118" s="94" t="s">
        <v>84</v>
      </c>
      <c r="H118" s="95">
        <v>44011</v>
      </c>
      <c r="I118" t="s">
        <v>156</v>
      </c>
    </row>
    <row r="119" spans="1:9">
      <c r="A119" s="103" t="s">
        <v>115</v>
      </c>
      <c r="B119" s="103">
        <v>3123</v>
      </c>
      <c r="C119" s="103" t="s">
        <v>144</v>
      </c>
      <c r="D119" s="104">
        <v>44012</v>
      </c>
      <c r="E119" s="103">
        <v>16500</v>
      </c>
      <c r="F119" s="103"/>
      <c r="G119" s="105" t="s">
        <v>85</v>
      </c>
      <c r="H119" s="104">
        <v>44012</v>
      </c>
    </row>
    <row r="120" spans="1:9">
      <c r="A120" s="94" t="s">
        <v>115</v>
      </c>
      <c r="B120" s="94">
        <v>3124</v>
      </c>
      <c r="C120" s="94" t="s">
        <v>145</v>
      </c>
      <c r="D120" s="95">
        <v>44012</v>
      </c>
      <c r="E120" s="94">
        <v>500</v>
      </c>
      <c r="F120" s="94"/>
      <c r="G120" s="111" t="s">
        <v>85</v>
      </c>
      <c r="H120" s="95">
        <v>44012</v>
      </c>
    </row>
    <row r="121" spans="1:9">
      <c r="A121" s="94" t="s">
        <v>115</v>
      </c>
      <c r="B121" s="94">
        <v>3125</v>
      </c>
      <c r="C121" s="121" t="s">
        <v>146</v>
      </c>
      <c r="D121" s="95">
        <v>44012</v>
      </c>
      <c r="E121" s="94">
        <v>1500</v>
      </c>
      <c r="F121" s="94"/>
      <c r="G121" s="111" t="s">
        <v>85</v>
      </c>
      <c r="H121" s="95">
        <v>44012</v>
      </c>
    </row>
    <row r="122" spans="1:9">
      <c r="A122" s="94" t="s">
        <v>115</v>
      </c>
      <c r="B122" s="94">
        <v>3126</v>
      </c>
      <c r="C122" s="94" t="s">
        <v>147</v>
      </c>
      <c r="D122" s="95">
        <v>44012</v>
      </c>
      <c r="E122" s="94">
        <v>5200</v>
      </c>
      <c r="F122" s="94"/>
      <c r="G122" s="111" t="s">
        <v>85</v>
      </c>
      <c r="H122" s="95">
        <v>44012</v>
      </c>
    </row>
    <row r="123" spans="1:9">
      <c r="A123" s="94" t="s">
        <v>115</v>
      </c>
      <c r="B123" s="94">
        <v>3127</v>
      </c>
      <c r="C123" s="121" t="s">
        <v>148</v>
      </c>
      <c r="D123" s="95">
        <v>44012</v>
      </c>
      <c r="E123" s="94">
        <v>4000</v>
      </c>
      <c r="F123" s="94"/>
      <c r="G123" s="111" t="s">
        <v>85</v>
      </c>
      <c r="H123" s="95">
        <v>44012</v>
      </c>
    </row>
    <row r="124" spans="1:9">
      <c r="A124" s="94" t="s">
        <v>115</v>
      </c>
      <c r="B124" s="94">
        <v>3128</v>
      </c>
      <c r="C124" s="121" t="s">
        <v>149</v>
      </c>
      <c r="D124" s="95">
        <v>44012</v>
      </c>
      <c r="E124" s="94">
        <v>2300</v>
      </c>
      <c r="F124" s="94"/>
      <c r="G124" s="111" t="s">
        <v>85</v>
      </c>
      <c r="H124" s="95">
        <v>44012</v>
      </c>
    </row>
    <row r="125" spans="1:9">
      <c r="A125" s="94" t="s">
        <v>115</v>
      </c>
      <c r="B125" s="94">
        <v>3129</v>
      </c>
      <c r="C125" s="94" t="s">
        <v>150</v>
      </c>
      <c r="D125" s="95">
        <v>44012</v>
      </c>
      <c r="E125" s="94">
        <v>2900</v>
      </c>
      <c r="F125" s="94"/>
      <c r="G125" s="111" t="s">
        <v>85</v>
      </c>
      <c r="H125" s="95">
        <v>44012</v>
      </c>
    </row>
    <row r="126" spans="1:9">
      <c r="A126" s="126" t="s">
        <v>115</v>
      </c>
      <c r="B126" s="126">
        <v>3130</v>
      </c>
      <c r="C126" s="126" t="s">
        <v>132</v>
      </c>
      <c r="D126" s="113">
        <v>44012</v>
      </c>
      <c r="E126" s="126">
        <v>2700</v>
      </c>
      <c r="F126" s="126"/>
      <c r="G126" s="131" t="s">
        <v>85</v>
      </c>
      <c r="H126" s="113">
        <v>44012</v>
      </c>
    </row>
    <row r="127" spans="1:9">
      <c r="A127" s="108" t="s">
        <v>115</v>
      </c>
      <c r="B127" s="108">
        <v>3131</v>
      </c>
      <c r="C127" s="108" t="s">
        <v>128</v>
      </c>
      <c r="D127" s="109">
        <v>44012</v>
      </c>
      <c r="E127" s="108">
        <f>9200*3</f>
        <v>27600</v>
      </c>
      <c r="F127" s="108" t="s">
        <v>142</v>
      </c>
      <c r="G127" s="108" t="s">
        <v>84</v>
      </c>
      <c r="H127" s="109">
        <v>44014</v>
      </c>
    </row>
    <row r="128" spans="1:9">
      <c r="A128" s="87" t="s">
        <v>115</v>
      </c>
      <c r="B128" s="87">
        <v>3132</v>
      </c>
      <c r="C128" s="87" t="s">
        <v>129</v>
      </c>
      <c r="D128" s="102">
        <v>44012</v>
      </c>
      <c r="E128" s="87">
        <v>1500</v>
      </c>
      <c r="F128" s="87" t="s">
        <v>142</v>
      </c>
      <c r="G128" s="87" t="s">
        <v>84</v>
      </c>
      <c r="H128" s="102">
        <v>44014</v>
      </c>
    </row>
    <row r="129" spans="1:9">
      <c r="A129" s="87" t="s">
        <v>115</v>
      </c>
      <c r="B129" s="87">
        <v>3133</v>
      </c>
      <c r="C129" s="87" t="s">
        <v>130</v>
      </c>
      <c r="D129" s="102">
        <v>44012</v>
      </c>
      <c r="E129" s="87">
        <v>4500</v>
      </c>
      <c r="F129" s="87" t="s">
        <v>142</v>
      </c>
      <c r="G129" s="87" t="s">
        <v>84</v>
      </c>
      <c r="H129" s="102">
        <v>44014</v>
      </c>
    </row>
    <row r="130" spans="1:9">
      <c r="A130" s="87" t="s">
        <v>115</v>
      </c>
      <c r="B130" s="87">
        <v>3134</v>
      </c>
      <c r="C130" s="87" t="s">
        <v>131</v>
      </c>
      <c r="D130" s="102">
        <v>44012</v>
      </c>
      <c r="E130" s="87">
        <v>3300</v>
      </c>
      <c r="F130" s="87" t="s">
        <v>142</v>
      </c>
      <c r="G130" s="87" t="s">
        <v>84</v>
      </c>
      <c r="H130" s="102">
        <v>44014</v>
      </c>
    </row>
    <row r="131" spans="1:9">
      <c r="A131" s="87" t="s">
        <v>115</v>
      </c>
      <c r="B131" s="87">
        <v>3135</v>
      </c>
      <c r="C131" s="87" t="s">
        <v>127</v>
      </c>
      <c r="D131" s="102">
        <v>44012</v>
      </c>
      <c r="E131" s="87">
        <v>16200</v>
      </c>
      <c r="F131" s="87" t="s">
        <v>157</v>
      </c>
      <c r="G131" s="87" t="s">
        <v>84</v>
      </c>
      <c r="H131" s="102">
        <v>44014</v>
      </c>
    </row>
    <row r="132" spans="1:9">
      <c r="A132" s="94" t="s">
        <v>115</v>
      </c>
      <c r="B132" s="94">
        <v>3136</v>
      </c>
      <c r="C132" s="94" t="s">
        <v>134</v>
      </c>
      <c r="D132" s="95">
        <v>44012</v>
      </c>
      <c r="E132" s="94">
        <v>9200</v>
      </c>
      <c r="F132" s="94" t="s">
        <v>135</v>
      </c>
      <c r="G132" s="94" t="s">
        <v>84</v>
      </c>
      <c r="H132" s="95">
        <v>44014</v>
      </c>
      <c r="I132" t="s">
        <v>158</v>
      </c>
    </row>
    <row r="133" spans="1:9">
      <c r="A133" s="87" t="s">
        <v>115</v>
      </c>
      <c r="B133" s="87">
        <v>3137</v>
      </c>
      <c r="C133" s="106" t="s">
        <v>137</v>
      </c>
      <c r="D133" s="102">
        <v>44012</v>
      </c>
      <c r="E133" s="87">
        <v>11700</v>
      </c>
      <c r="F133" s="87" t="s">
        <v>135</v>
      </c>
      <c r="G133" s="87" t="s">
        <v>84</v>
      </c>
      <c r="H133" s="102">
        <v>44014</v>
      </c>
    </row>
    <row r="134" spans="1:9">
      <c r="A134" s="94" t="s">
        <v>115</v>
      </c>
      <c r="B134" s="94">
        <v>3138</v>
      </c>
      <c r="C134" s="132" t="s">
        <v>138</v>
      </c>
      <c r="D134" s="95">
        <v>44012</v>
      </c>
      <c r="E134" s="94">
        <v>5100</v>
      </c>
      <c r="F134" s="94" t="s">
        <v>139</v>
      </c>
      <c r="G134" s="94" t="s">
        <v>84</v>
      </c>
      <c r="H134" s="95">
        <v>44014</v>
      </c>
    </row>
    <row r="135" spans="1:9">
      <c r="A135" s="108" t="s">
        <v>115</v>
      </c>
      <c r="B135" s="108">
        <v>3139</v>
      </c>
      <c r="C135" s="108" t="s">
        <v>159</v>
      </c>
      <c r="D135" s="109">
        <v>44012</v>
      </c>
      <c r="E135" s="108">
        <v>3000</v>
      </c>
      <c r="F135" s="108" t="s">
        <v>160</v>
      </c>
      <c r="G135" s="108" t="s">
        <v>84</v>
      </c>
      <c r="H135" s="109">
        <v>44018</v>
      </c>
    </row>
    <row r="136" spans="1:9">
      <c r="A136" s="108" t="s">
        <v>115</v>
      </c>
      <c r="B136" s="108">
        <v>3140</v>
      </c>
      <c r="C136" s="87" t="s">
        <v>140</v>
      </c>
      <c r="D136" s="109">
        <v>44035</v>
      </c>
      <c r="E136" s="108">
        <f>12000+3500+4800</f>
        <v>20300</v>
      </c>
      <c r="F136" s="108" t="s">
        <v>25</v>
      </c>
      <c r="G136" s="110" t="s">
        <v>84</v>
      </c>
      <c r="H136" s="108"/>
    </row>
    <row r="137" spans="1:9">
      <c r="A137" s="94" t="s">
        <v>115</v>
      </c>
      <c r="B137" s="94">
        <v>3141</v>
      </c>
      <c r="C137" s="94" t="s">
        <v>150</v>
      </c>
      <c r="D137" s="95">
        <v>44036</v>
      </c>
      <c r="E137" s="94">
        <v>2900</v>
      </c>
      <c r="F137" s="94" t="s">
        <v>161</v>
      </c>
      <c r="G137" s="111" t="s">
        <v>90</v>
      </c>
      <c r="H137" s="95">
        <v>44036</v>
      </c>
    </row>
    <row r="138" spans="1:9">
      <c r="A138" s="103" t="s">
        <v>115</v>
      </c>
      <c r="B138" s="103">
        <v>3142</v>
      </c>
      <c r="C138" s="103" t="s">
        <v>145</v>
      </c>
      <c r="D138" s="104">
        <v>44036</v>
      </c>
      <c r="E138" s="103">
        <v>500</v>
      </c>
      <c r="F138" s="103" t="s">
        <v>162</v>
      </c>
      <c r="G138" s="103" t="s">
        <v>90</v>
      </c>
      <c r="H138" s="104">
        <v>44036</v>
      </c>
    </row>
    <row r="139" spans="1:9">
      <c r="A139" s="87" t="s">
        <v>115</v>
      </c>
      <c r="B139" s="87">
        <v>3143</v>
      </c>
      <c r="C139" s="87" t="s">
        <v>131</v>
      </c>
      <c r="D139" s="102">
        <v>44036</v>
      </c>
      <c r="E139" s="87">
        <v>1100</v>
      </c>
      <c r="F139" s="87" t="s">
        <v>142</v>
      </c>
      <c r="G139" s="107" t="s">
        <v>90</v>
      </c>
      <c r="H139" s="102">
        <v>44036</v>
      </c>
    </row>
    <row r="140" spans="1:9">
      <c r="A140" s="87" t="s">
        <v>115</v>
      </c>
      <c r="B140" s="87">
        <v>3144</v>
      </c>
      <c r="C140" s="87" t="s">
        <v>128</v>
      </c>
      <c r="D140" s="102">
        <v>44036</v>
      </c>
      <c r="E140" s="87">
        <v>9200</v>
      </c>
      <c r="F140" s="87" t="s">
        <v>142</v>
      </c>
      <c r="G140" s="107" t="s">
        <v>90</v>
      </c>
      <c r="H140" s="92">
        <v>44036</v>
      </c>
    </row>
    <row r="141" spans="1:9">
      <c r="A141" s="94" t="s">
        <v>115</v>
      </c>
      <c r="B141" s="94">
        <v>3145</v>
      </c>
      <c r="C141" s="94" t="s">
        <v>134</v>
      </c>
      <c r="D141" s="95">
        <v>44036</v>
      </c>
      <c r="E141" s="94">
        <v>3100</v>
      </c>
      <c r="F141" s="94" t="s">
        <v>135</v>
      </c>
      <c r="G141" s="111" t="s">
        <v>90</v>
      </c>
      <c r="H141" s="95">
        <v>44036</v>
      </c>
      <c r="I141" t="s">
        <v>163</v>
      </c>
    </row>
    <row r="142" spans="1:9">
      <c r="A142" s="94" t="s">
        <v>115</v>
      </c>
      <c r="B142" s="94">
        <v>3146</v>
      </c>
      <c r="C142" s="94" t="s">
        <v>147</v>
      </c>
      <c r="D142" s="95">
        <v>44036</v>
      </c>
      <c r="E142" s="94">
        <v>5200</v>
      </c>
      <c r="F142" s="94" t="s">
        <v>89</v>
      </c>
      <c r="G142" s="111" t="s">
        <v>90</v>
      </c>
      <c r="H142" s="95">
        <v>44036</v>
      </c>
    </row>
    <row r="143" spans="1:9">
      <c r="A143" s="87" t="s">
        <v>115</v>
      </c>
      <c r="B143" s="87">
        <v>3147</v>
      </c>
      <c r="C143" s="87" t="s">
        <v>130</v>
      </c>
      <c r="D143" s="102">
        <v>44036</v>
      </c>
      <c r="E143" s="87">
        <v>1500</v>
      </c>
      <c r="F143" s="87" t="s">
        <v>142</v>
      </c>
      <c r="G143" s="107" t="s">
        <v>90</v>
      </c>
      <c r="H143" s="102">
        <v>44036</v>
      </c>
    </row>
    <row r="144" spans="1:9">
      <c r="A144" s="94" t="s">
        <v>115</v>
      </c>
      <c r="B144" s="94">
        <v>3148</v>
      </c>
      <c r="C144" s="94" t="s">
        <v>144</v>
      </c>
      <c r="D144" s="95">
        <v>44036</v>
      </c>
      <c r="E144" s="94">
        <v>16500</v>
      </c>
      <c r="F144" s="94" t="s">
        <v>162</v>
      </c>
      <c r="G144" s="111" t="s">
        <v>90</v>
      </c>
      <c r="H144" s="95">
        <v>44036</v>
      </c>
    </row>
    <row r="145" spans="1:9">
      <c r="A145" s="87" t="s">
        <v>115</v>
      </c>
      <c r="B145" s="87">
        <v>3149</v>
      </c>
      <c r="C145" s="87" t="s">
        <v>159</v>
      </c>
      <c r="D145" s="102">
        <v>44036</v>
      </c>
      <c r="E145" s="87">
        <v>1000</v>
      </c>
      <c r="F145" s="87" t="s">
        <v>160</v>
      </c>
      <c r="G145" s="107" t="s">
        <v>90</v>
      </c>
      <c r="H145" s="102">
        <v>44036</v>
      </c>
    </row>
    <row r="146" spans="1:9">
      <c r="A146" s="94" t="s">
        <v>115</v>
      </c>
      <c r="B146" s="94">
        <v>3150</v>
      </c>
      <c r="C146" s="133" t="s">
        <v>152</v>
      </c>
      <c r="D146" s="95">
        <v>44036</v>
      </c>
      <c r="E146" s="94">
        <v>3500</v>
      </c>
      <c r="F146" s="94" t="s">
        <v>164</v>
      </c>
      <c r="G146" s="111" t="s">
        <v>90</v>
      </c>
      <c r="H146" s="95">
        <v>44036</v>
      </c>
    </row>
    <row r="147" spans="1:9">
      <c r="A147" s="87" t="s">
        <v>115</v>
      </c>
      <c r="B147" s="87">
        <v>3151</v>
      </c>
      <c r="C147" s="87" t="s">
        <v>129</v>
      </c>
      <c r="D147" s="102">
        <v>44036</v>
      </c>
      <c r="E147" s="87">
        <v>500</v>
      </c>
      <c r="F147" s="87" t="s">
        <v>142</v>
      </c>
      <c r="G147" s="107" t="s">
        <v>90</v>
      </c>
      <c r="H147" s="102">
        <v>44036</v>
      </c>
    </row>
    <row r="148" spans="1:9">
      <c r="A148" s="94" t="s">
        <v>115</v>
      </c>
      <c r="B148" s="94">
        <v>3152</v>
      </c>
      <c r="C148" s="94" t="s">
        <v>132</v>
      </c>
      <c r="D148" s="95">
        <v>44036</v>
      </c>
      <c r="E148" s="94">
        <v>2700</v>
      </c>
      <c r="F148" s="94" t="s">
        <v>135</v>
      </c>
      <c r="G148" s="111" t="s">
        <v>90</v>
      </c>
      <c r="H148" s="95">
        <v>44036</v>
      </c>
    </row>
    <row r="149" spans="1:9">
      <c r="A149" s="108" t="s">
        <v>115</v>
      </c>
      <c r="B149" s="108">
        <v>3153</v>
      </c>
      <c r="C149" s="108" t="s">
        <v>137</v>
      </c>
      <c r="D149" s="109">
        <v>44036</v>
      </c>
      <c r="E149" s="108">
        <v>3900</v>
      </c>
      <c r="F149" s="108" t="s">
        <v>135</v>
      </c>
      <c r="G149" s="110" t="s">
        <v>90</v>
      </c>
      <c r="H149" s="109">
        <v>44036</v>
      </c>
    </row>
    <row r="150" spans="1:9">
      <c r="A150" s="94" t="s">
        <v>115</v>
      </c>
      <c r="B150" s="94">
        <v>3154</v>
      </c>
      <c r="C150" s="121" t="s">
        <v>149</v>
      </c>
      <c r="D150" s="95">
        <v>44036</v>
      </c>
      <c r="E150" s="94">
        <v>2300</v>
      </c>
      <c r="F150" s="94" t="s">
        <v>165</v>
      </c>
      <c r="G150" s="111" t="s">
        <v>90</v>
      </c>
      <c r="H150" s="95">
        <v>44036</v>
      </c>
    </row>
    <row r="151" spans="1:9">
      <c r="A151" s="103" t="s">
        <v>115</v>
      </c>
      <c r="B151" s="103">
        <v>3155</v>
      </c>
      <c r="C151" s="134" t="s">
        <v>148</v>
      </c>
      <c r="D151" s="104">
        <v>44036</v>
      </c>
      <c r="E151" s="103">
        <v>4000</v>
      </c>
      <c r="F151" s="103" t="s">
        <v>166</v>
      </c>
      <c r="G151" s="105" t="s">
        <v>90</v>
      </c>
      <c r="H151" s="104">
        <v>44036</v>
      </c>
    </row>
    <row r="152" spans="1:9">
      <c r="A152" s="94" t="s">
        <v>115</v>
      </c>
      <c r="B152" s="94">
        <v>3156</v>
      </c>
      <c r="C152" s="94" t="s">
        <v>138</v>
      </c>
      <c r="D152" s="95">
        <v>44036</v>
      </c>
      <c r="E152" s="94">
        <v>1700</v>
      </c>
      <c r="F152" s="94" t="s">
        <v>135</v>
      </c>
      <c r="G152" s="111" t="s">
        <v>90</v>
      </c>
      <c r="H152" s="95">
        <v>44036</v>
      </c>
    </row>
    <row r="153" spans="1:9">
      <c r="A153" s="94" t="s">
        <v>115</v>
      </c>
      <c r="B153" s="94">
        <v>3157</v>
      </c>
      <c r="C153" s="94" t="s">
        <v>146</v>
      </c>
      <c r="D153" s="95">
        <v>44036</v>
      </c>
      <c r="E153" s="94">
        <v>1500</v>
      </c>
      <c r="F153" s="94" t="s">
        <v>135</v>
      </c>
      <c r="G153" s="111" t="s">
        <v>90</v>
      </c>
      <c r="H153" s="95">
        <v>44036</v>
      </c>
    </row>
    <row r="154" spans="1:9">
      <c r="A154" s="87" t="s">
        <v>115</v>
      </c>
      <c r="B154" s="87">
        <v>3158</v>
      </c>
      <c r="C154" s="87" t="s">
        <v>127</v>
      </c>
      <c r="D154" s="102">
        <v>44036</v>
      </c>
      <c r="E154" s="87">
        <v>5400</v>
      </c>
      <c r="F154" s="87" t="s">
        <v>157</v>
      </c>
      <c r="G154" s="107" t="s">
        <v>90</v>
      </c>
      <c r="H154" s="102">
        <v>44036</v>
      </c>
    </row>
    <row r="155" spans="1:9">
      <c r="A155" t="s">
        <v>115</v>
      </c>
      <c r="B155">
        <v>3159</v>
      </c>
      <c r="C155" t="s">
        <v>116</v>
      </c>
      <c r="D155" s="92">
        <v>44050</v>
      </c>
      <c r="E155">
        <v>2040</v>
      </c>
      <c r="F155" s="108" t="s">
        <v>162</v>
      </c>
      <c r="G155" s="93" t="s">
        <v>85</v>
      </c>
      <c r="H155" s="92">
        <v>44050</v>
      </c>
    </row>
    <row r="156" spans="1:9">
      <c r="A156" s="87" t="s">
        <v>115</v>
      </c>
      <c r="B156" s="87">
        <v>3160</v>
      </c>
      <c r="C156" s="87" t="s">
        <v>118</v>
      </c>
      <c r="D156" s="102">
        <v>44050</v>
      </c>
      <c r="E156" s="87">
        <v>750</v>
      </c>
      <c r="F156" s="87" t="s">
        <v>162</v>
      </c>
      <c r="G156" s="107" t="s">
        <v>85</v>
      </c>
      <c r="H156" s="102">
        <v>44050</v>
      </c>
    </row>
    <row r="157" spans="1:9">
      <c r="A157" s="94" t="s">
        <v>115</v>
      </c>
      <c r="B157" s="94">
        <v>3161</v>
      </c>
      <c r="C157" s="94" t="s">
        <v>119</v>
      </c>
      <c r="D157" s="95">
        <v>44050</v>
      </c>
      <c r="E157" s="94">
        <v>1600</v>
      </c>
      <c r="F157" s="94" t="s">
        <v>162</v>
      </c>
      <c r="G157" s="111" t="s">
        <v>85</v>
      </c>
      <c r="H157" s="95">
        <v>44050</v>
      </c>
      <c r="I157" s="87" t="s">
        <v>167</v>
      </c>
    </row>
    <row r="158" spans="1:9">
      <c r="A158" s="96" t="s">
        <v>115</v>
      </c>
      <c r="B158" s="96">
        <v>3162</v>
      </c>
      <c r="C158" s="96" t="s">
        <v>121</v>
      </c>
      <c r="D158" s="97">
        <v>44050</v>
      </c>
      <c r="E158" s="96">
        <v>1400</v>
      </c>
      <c r="F158" s="96" t="s">
        <v>162</v>
      </c>
      <c r="G158" s="98" t="s">
        <v>85</v>
      </c>
      <c r="H158" s="92">
        <v>44050</v>
      </c>
    </row>
    <row r="159" spans="1:9">
      <c r="A159" s="94" t="s">
        <v>115</v>
      </c>
      <c r="B159" s="94">
        <v>3163</v>
      </c>
      <c r="C159" s="94" t="s">
        <v>122</v>
      </c>
      <c r="D159" s="95">
        <v>44050</v>
      </c>
      <c r="E159" s="94">
        <v>300</v>
      </c>
      <c r="F159" s="94" t="s">
        <v>162</v>
      </c>
      <c r="G159" s="111" t="s">
        <v>85</v>
      </c>
      <c r="H159" s="90">
        <v>44050</v>
      </c>
    </row>
    <row r="160" spans="1:9">
      <c r="A160" s="94" t="s">
        <v>115</v>
      </c>
      <c r="B160" s="94">
        <v>3164</v>
      </c>
      <c r="C160" s="94" t="s">
        <v>123</v>
      </c>
      <c r="D160" s="95">
        <v>44050</v>
      </c>
      <c r="E160" s="94">
        <v>9611</v>
      </c>
      <c r="F160" s="94" t="s">
        <v>162</v>
      </c>
      <c r="G160" s="111" t="s">
        <v>85</v>
      </c>
      <c r="H160" s="90">
        <v>44050</v>
      </c>
    </row>
    <row r="161" spans="1:9">
      <c r="A161" s="87" t="s">
        <v>115</v>
      </c>
      <c r="B161" s="87">
        <v>3165</v>
      </c>
      <c r="C161" s="87" t="s">
        <v>124</v>
      </c>
      <c r="D161" s="102">
        <v>44050</v>
      </c>
      <c r="E161" s="87">
        <v>538</v>
      </c>
      <c r="F161" s="87" t="s">
        <v>162</v>
      </c>
      <c r="G161" s="107" t="s">
        <v>85</v>
      </c>
      <c r="H161" s="92">
        <v>44050</v>
      </c>
    </row>
    <row r="162" spans="1:9">
      <c r="A162" s="87" t="s">
        <v>115</v>
      </c>
      <c r="B162" s="87">
        <v>3166</v>
      </c>
      <c r="C162" s="87" t="s">
        <v>125</v>
      </c>
      <c r="D162" s="102">
        <v>44050</v>
      </c>
      <c r="E162" s="87">
        <v>450</v>
      </c>
      <c r="F162" s="87" t="s">
        <v>162</v>
      </c>
      <c r="G162" s="107" t="s">
        <v>85</v>
      </c>
      <c r="H162" s="92">
        <v>44050</v>
      </c>
    </row>
    <row r="163" spans="1:9">
      <c r="A163" s="126" t="s">
        <v>115</v>
      </c>
      <c r="B163" s="126">
        <v>3167</v>
      </c>
      <c r="C163" s="126" t="s">
        <v>126</v>
      </c>
      <c r="D163" s="113">
        <v>44050</v>
      </c>
      <c r="E163" s="126">
        <v>2545</v>
      </c>
      <c r="F163" s="126" t="s">
        <v>162</v>
      </c>
      <c r="G163" s="131" t="s">
        <v>85</v>
      </c>
      <c r="H163" s="90">
        <v>44050</v>
      </c>
      <c r="I163" s="87"/>
    </row>
    <row r="164" spans="1:9">
      <c r="A164" s="87" t="s">
        <v>115</v>
      </c>
      <c r="B164" s="87">
        <v>3168</v>
      </c>
      <c r="C164" s="129" t="s">
        <v>153</v>
      </c>
      <c r="D164" s="102">
        <v>44067</v>
      </c>
      <c r="E164" s="87">
        <v>6000</v>
      </c>
      <c r="F164" s="87" t="s">
        <v>168</v>
      </c>
      <c r="G164" s="87" t="s">
        <v>105</v>
      </c>
      <c r="H164" s="102">
        <v>44067</v>
      </c>
    </row>
    <row r="165" spans="1:9">
      <c r="A165" s="103" t="s">
        <v>115</v>
      </c>
      <c r="B165" s="103">
        <v>3169</v>
      </c>
      <c r="C165" s="134" t="s">
        <v>154</v>
      </c>
      <c r="D165" s="104">
        <v>44067</v>
      </c>
      <c r="E165" s="103">
        <v>7200</v>
      </c>
      <c r="F165" s="103" t="s">
        <v>168</v>
      </c>
      <c r="G165" s="103" t="s">
        <v>105</v>
      </c>
      <c r="H165" s="104">
        <v>44067</v>
      </c>
      <c r="I165" t="s">
        <v>169</v>
      </c>
    </row>
    <row r="166" spans="1:9">
      <c r="A166" s="103" t="s">
        <v>115</v>
      </c>
      <c r="B166" s="103">
        <v>3170</v>
      </c>
      <c r="C166" s="103" t="s">
        <v>170</v>
      </c>
      <c r="D166" s="104">
        <v>44068</v>
      </c>
      <c r="E166" s="103">
        <v>2900</v>
      </c>
      <c r="F166" s="103" t="s">
        <v>161</v>
      </c>
      <c r="G166" s="105" t="s">
        <v>95</v>
      </c>
      <c r="H166" s="104">
        <v>44068</v>
      </c>
    </row>
    <row r="167" spans="1:9">
      <c r="A167" s="94" t="s">
        <v>115</v>
      </c>
      <c r="B167" s="94">
        <v>3171</v>
      </c>
      <c r="C167" s="94" t="s">
        <v>145</v>
      </c>
      <c r="D167" s="95">
        <v>44068</v>
      </c>
      <c r="E167" s="94">
        <v>500</v>
      </c>
      <c r="F167" s="94" t="s">
        <v>161</v>
      </c>
      <c r="G167" s="94" t="s">
        <v>95</v>
      </c>
      <c r="H167" s="95">
        <v>44068</v>
      </c>
    </row>
    <row r="168" spans="1:9">
      <c r="A168" s="87" t="s">
        <v>115</v>
      </c>
      <c r="B168" s="87">
        <v>3172</v>
      </c>
      <c r="C168" s="87" t="s">
        <v>131</v>
      </c>
      <c r="D168" s="102">
        <v>44068</v>
      </c>
      <c r="E168" s="87">
        <v>1100</v>
      </c>
      <c r="F168" s="87" t="s">
        <v>142</v>
      </c>
      <c r="G168" s="87" t="s">
        <v>95</v>
      </c>
      <c r="H168" s="102">
        <v>44068</v>
      </c>
    </row>
    <row r="169" spans="1:9">
      <c r="A169" s="87" t="s">
        <v>115</v>
      </c>
      <c r="B169" s="87">
        <v>3173</v>
      </c>
      <c r="C169" s="87" t="s">
        <v>128</v>
      </c>
      <c r="D169" s="102">
        <v>44068</v>
      </c>
      <c r="E169" s="87">
        <v>9200</v>
      </c>
      <c r="F169" s="87" t="s">
        <v>142</v>
      </c>
      <c r="G169" s="87" t="s">
        <v>95</v>
      </c>
      <c r="H169" s="102">
        <v>44068</v>
      </c>
    </row>
    <row r="170" spans="1:9">
      <c r="A170" s="94" t="s">
        <v>115</v>
      </c>
      <c r="B170" s="94">
        <v>3174</v>
      </c>
      <c r="C170" s="94" t="s">
        <v>134</v>
      </c>
      <c r="D170" s="95">
        <v>44068</v>
      </c>
      <c r="E170" s="94">
        <v>3100</v>
      </c>
      <c r="F170" s="94" t="s">
        <v>135</v>
      </c>
      <c r="G170" s="94" t="s">
        <v>95</v>
      </c>
      <c r="H170" s="95">
        <v>44068</v>
      </c>
      <c r="I170" t="s">
        <v>171</v>
      </c>
    </row>
    <row r="171" spans="1:9">
      <c r="A171" s="94" t="s">
        <v>115</v>
      </c>
      <c r="B171" s="94">
        <v>3175</v>
      </c>
      <c r="C171" s="94" t="s">
        <v>147</v>
      </c>
      <c r="D171" s="95">
        <v>44068</v>
      </c>
      <c r="E171" s="94">
        <v>5200</v>
      </c>
      <c r="F171" s="94" t="s">
        <v>89</v>
      </c>
      <c r="G171" s="94" t="s">
        <v>95</v>
      </c>
      <c r="H171" s="95">
        <v>44068</v>
      </c>
    </row>
    <row r="172" spans="1:9">
      <c r="A172" s="87" t="s">
        <v>115</v>
      </c>
      <c r="B172" s="87">
        <v>3176</v>
      </c>
      <c r="C172" s="87" t="s">
        <v>130</v>
      </c>
      <c r="D172" s="102">
        <v>44068</v>
      </c>
      <c r="E172" s="87">
        <v>1500</v>
      </c>
      <c r="F172" s="87" t="s">
        <v>142</v>
      </c>
      <c r="G172" s="87" t="s">
        <v>95</v>
      </c>
      <c r="H172" s="102">
        <v>44068</v>
      </c>
    </row>
    <row r="173" spans="1:9">
      <c r="A173" s="94" t="s">
        <v>115</v>
      </c>
      <c r="B173" s="94">
        <v>3177</v>
      </c>
      <c r="C173" s="94" t="s">
        <v>144</v>
      </c>
      <c r="D173" s="95">
        <v>44068</v>
      </c>
      <c r="E173" s="94">
        <v>16500</v>
      </c>
      <c r="F173" s="94" t="s">
        <v>162</v>
      </c>
      <c r="G173" s="111" t="s">
        <v>95</v>
      </c>
      <c r="H173" s="95">
        <v>44068</v>
      </c>
    </row>
    <row r="174" spans="1:9">
      <c r="A174" s="94" t="s">
        <v>115</v>
      </c>
      <c r="B174" s="94">
        <v>3178</v>
      </c>
      <c r="C174" s="133" t="s">
        <v>152</v>
      </c>
      <c r="D174" s="95">
        <v>44068</v>
      </c>
      <c r="E174" s="94">
        <v>3500</v>
      </c>
      <c r="F174" s="94" t="s">
        <v>164</v>
      </c>
      <c r="G174" s="94" t="s">
        <v>95</v>
      </c>
      <c r="H174" s="95">
        <v>44068</v>
      </c>
    </row>
    <row r="175" spans="1:9">
      <c r="A175" s="87" t="s">
        <v>115</v>
      </c>
      <c r="B175" s="87">
        <v>3179</v>
      </c>
      <c r="C175" s="87" t="s">
        <v>129</v>
      </c>
      <c r="D175" s="102">
        <v>44068</v>
      </c>
      <c r="E175" s="87">
        <v>500</v>
      </c>
      <c r="F175" s="87" t="s">
        <v>142</v>
      </c>
      <c r="G175" s="87" t="s">
        <v>95</v>
      </c>
      <c r="H175" s="102">
        <v>44068</v>
      </c>
    </row>
    <row r="176" spans="1:9">
      <c r="A176" s="94" t="s">
        <v>115</v>
      </c>
      <c r="B176" s="94">
        <v>3180</v>
      </c>
      <c r="C176" s="133" t="s">
        <v>132</v>
      </c>
      <c r="D176" s="95">
        <v>44068</v>
      </c>
      <c r="E176" s="94">
        <v>2700</v>
      </c>
      <c r="F176" s="94" t="s">
        <v>135</v>
      </c>
      <c r="G176" s="94" t="s">
        <v>95</v>
      </c>
      <c r="H176" s="95">
        <v>44068</v>
      </c>
    </row>
    <row r="177" spans="1:9">
      <c r="A177" s="87" t="s">
        <v>115</v>
      </c>
      <c r="B177" s="87">
        <v>3181</v>
      </c>
      <c r="C177" s="87" t="s">
        <v>137</v>
      </c>
      <c r="D177" s="102">
        <v>44068</v>
      </c>
      <c r="E177" s="87">
        <v>3900</v>
      </c>
      <c r="F177" s="87" t="s">
        <v>135</v>
      </c>
      <c r="G177" s="87" t="s">
        <v>95</v>
      </c>
      <c r="H177" s="102">
        <v>44068</v>
      </c>
    </row>
    <row r="178" spans="1:9">
      <c r="A178" s="94" t="s">
        <v>115</v>
      </c>
      <c r="B178" s="94">
        <v>3182</v>
      </c>
      <c r="C178" s="121" t="s">
        <v>149</v>
      </c>
      <c r="D178" s="95">
        <v>44068</v>
      </c>
      <c r="E178" s="94">
        <v>2300</v>
      </c>
      <c r="F178" s="94" t="s">
        <v>165</v>
      </c>
      <c r="G178" s="94" t="s">
        <v>95</v>
      </c>
      <c r="H178" s="95">
        <v>44068</v>
      </c>
    </row>
    <row r="179" spans="1:9">
      <c r="A179" s="94" t="s">
        <v>115</v>
      </c>
      <c r="B179" s="94">
        <v>3183</v>
      </c>
      <c r="C179" s="121" t="s">
        <v>148</v>
      </c>
      <c r="D179" s="95">
        <v>44068</v>
      </c>
      <c r="E179" s="94">
        <v>4000</v>
      </c>
      <c r="F179" s="94" t="s">
        <v>166</v>
      </c>
      <c r="G179" s="94" t="s">
        <v>95</v>
      </c>
      <c r="H179" s="95">
        <v>44068</v>
      </c>
    </row>
    <row r="180" spans="1:9">
      <c r="A180" s="94" t="s">
        <v>115</v>
      </c>
      <c r="B180" s="94">
        <v>3184</v>
      </c>
      <c r="C180" s="94" t="s">
        <v>138</v>
      </c>
      <c r="D180" s="95">
        <v>44067</v>
      </c>
      <c r="E180" s="94">
        <v>1700</v>
      </c>
      <c r="F180" s="94" t="s">
        <v>135</v>
      </c>
      <c r="G180" s="94" t="s">
        <v>95</v>
      </c>
      <c r="H180" s="95">
        <v>44104</v>
      </c>
    </row>
    <row r="181" spans="1:9">
      <c r="A181" s="94" t="s">
        <v>115</v>
      </c>
      <c r="B181" s="94">
        <v>3185</v>
      </c>
      <c r="C181" s="94" t="s">
        <v>146</v>
      </c>
      <c r="D181" s="95">
        <v>44068</v>
      </c>
      <c r="E181" s="94">
        <v>1500</v>
      </c>
      <c r="F181" s="94" t="s">
        <v>135</v>
      </c>
      <c r="G181" s="94" t="s">
        <v>95</v>
      </c>
      <c r="H181" s="95">
        <v>44069</v>
      </c>
    </row>
    <row r="182" spans="1:9">
      <c r="A182" s="87" t="s">
        <v>115</v>
      </c>
      <c r="B182" s="87">
        <v>3186</v>
      </c>
      <c r="C182" s="87" t="s">
        <v>127</v>
      </c>
      <c r="D182" s="102">
        <v>44068</v>
      </c>
      <c r="E182" s="87">
        <v>5400</v>
      </c>
      <c r="F182" s="87" t="s">
        <v>157</v>
      </c>
      <c r="G182" s="87" t="s">
        <v>95</v>
      </c>
      <c r="H182" s="102">
        <v>44069</v>
      </c>
    </row>
    <row r="183" spans="1:9">
      <c r="A183" s="94" t="s">
        <v>115</v>
      </c>
      <c r="B183" s="94">
        <v>3187</v>
      </c>
      <c r="C183" s="94" t="s">
        <v>141</v>
      </c>
      <c r="D183" s="95">
        <v>44089</v>
      </c>
      <c r="E183" s="94">
        <v>10800</v>
      </c>
      <c r="F183" s="94" t="s">
        <v>142</v>
      </c>
      <c r="G183" s="94" t="s">
        <v>97</v>
      </c>
      <c r="H183" s="94" t="s">
        <v>143</v>
      </c>
    </row>
    <row r="184" spans="1:9">
      <c r="A184" s="87" t="s">
        <v>115</v>
      </c>
      <c r="B184" s="87">
        <v>3188</v>
      </c>
      <c r="C184" s="87" t="s">
        <v>116</v>
      </c>
      <c r="D184" s="102">
        <v>44092</v>
      </c>
      <c r="E184" s="87">
        <v>4150</v>
      </c>
      <c r="F184" s="87" t="s">
        <v>162</v>
      </c>
      <c r="G184" s="107" t="s">
        <v>172</v>
      </c>
      <c r="H184" s="102">
        <v>44092</v>
      </c>
    </row>
    <row r="185" spans="1:9">
      <c r="A185" s="87" t="s">
        <v>115</v>
      </c>
      <c r="B185" s="87">
        <v>3189</v>
      </c>
      <c r="C185" s="87" t="s">
        <v>118</v>
      </c>
      <c r="D185" s="102">
        <v>44092</v>
      </c>
      <c r="E185" s="87">
        <v>1400</v>
      </c>
      <c r="F185" s="87" t="s">
        <v>162</v>
      </c>
      <c r="G185" s="107" t="s">
        <v>172</v>
      </c>
      <c r="H185" s="102">
        <v>44092</v>
      </c>
    </row>
    <row r="186" spans="1:9">
      <c r="A186" s="94" t="s">
        <v>115</v>
      </c>
      <c r="B186" s="94">
        <v>3190</v>
      </c>
      <c r="C186" s="94" t="s">
        <v>119</v>
      </c>
      <c r="D186" s="95">
        <v>44092</v>
      </c>
      <c r="E186" s="94">
        <v>3250</v>
      </c>
      <c r="F186" s="94" t="s">
        <v>162</v>
      </c>
      <c r="G186" s="111" t="s">
        <v>172</v>
      </c>
      <c r="H186" s="95">
        <v>44092</v>
      </c>
      <c r="I186" s="87" t="s">
        <v>167</v>
      </c>
    </row>
    <row r="187" spans="1:9">
      <c r="A187" s="87" t="s">
        <v>115</v>
      </c>
      <c r="B187" s="87">
        <v>3191</v>
      </c>
      <c r="C187" s="87" t="s">
        <v>121</v>
      </c>
      <c r="D187" s="102">
        <v>44092</v>
      </c>
      <c r="E187" s="87">
        <v>2940</v>
      </c>
      <c r="F187" s="87" t="s">
        <v>162</v>
      </c>
      <c r="G187" s="107" t="s">
        <v>172</v>
      </c>
      <c r="H187" s="102">
        <v>44092</v>
      </c>
    </row>
    <row r="188" spans="1:9">
      <c r="A188" s="135" t="s">
        <v>115</v>
      </c>
      <c r="B188" s="135">
        <v>3192</v>
      </c>
      <c r="C188" s="135" t="s">
        <v>173</v>
      </c>
      <c r="D188" s="90">
        <v>44092</v>
      </c>
      <c r="E188" s="135">
        <v>600</v>
      </c>
      <c r="F188" s="135" t="s">
        <v>162</v>
      </c>
      <c r="G188" s="136" t="s">
        <v>172</v>
      </c>
      <c r="H188" s="90">
        <v>44092</v>
      </c>
      <c r="I188" t="s">
        <v>174</v>
      </c>
    </row>
    <row r="189" spans="1:9">
      <c r="A189" s="94" t="s">
        <v>115</v>
      </c>
      <c r="B189" s="94">
        <v>3193</v>
      </c>
      <c r="C189" s="94" t="s">
        <v>122</v>
      </c>
      <c r="D189" s="95">
        <v>44092</v>
      </c>
      <c r="E189" s="94">
        <v>600</v>
      </c>
      <c r="F189" s="94" t="s">
        <v>162</v>
      </c>
      <c r="G189" s="111" t="s">
        <v>172</v>
      </c>
      <c r="H189" s="95">
        <v>44092</v>
      </c>
    </row>
    <row r="190" spans="1:9">
      <c r="A190" s="94" t="s">
        <v>115</v>
      </c>
      <c r="B190" s="94">
        <v>3194</v>
      </c>
      <c r="C190" s="94" t="s">
        <v>123</v>
      </c>
      <c r="D190" s="95">
        <v>44092</v>
      </c>
      <c r="E190" s="94">
        <v>21252</v>
      </c>
      <c r="F190" s="94" t="s">
        <v>162</v>
      </c>
      <c r="G190" s="111" t="s">
        <v>172</v>
      </c>
      <c r="H190" s="95">
        <v>44092</v>
      </c>
    </row>
    <row r="191" spans="1:9">
      <c r="A191" s="87" t="s">
        <v>115</v>
      </c>
      <c r="B191" s="87">
        <v>3195</v>
      </c>
      <c r="C191" s="87" t="s">
        <v>124</v>
      </c>
      <c r="D191" s="102">
        <v>44092</v>
      </c>
      <c r="E191" s="87">
        <v>1000</v>
      </c>
      <c r="F191" s="87" t="s">
        <v>162</v>
      </c>
      <c r="G191" s="107" t="s">
        <v>172</v>
      </c>
      <c r="H191" s="102">
        <v>44092</v>
      </c>
    </row>
    <row r="192" spans="1:9">
      <c r="A192" s="87" t="s">
        <v>115</v>
      </c>
      <c r="B192" s="87">
        <v>3196</v>
      </c>
      <c r="C192" s="87" t="s">
        <v>125</v>
      </c>
      <c r="D192" s="102">
        <v>44092</v>
      </c>
      <c r="E192" s="87">
        <v>800</v>
      </c>
      <c r="F192" s="87" t="s">
        <v>162</v>
      </c>
      <c r="G192" s="107" t="s">
        <v>172</v>
      </c>
      <c r="H192" s="102">
        <v>44092</v>
      </c>
    </row>
    <row r="193" spans="1:9">
      <c r="A193" s="94" t="s">
        <v>115</v>
      </c>
      <c r="B193" s="94">
        <v>3197</v>
      </c>
      <c r="C193" s="94" t="s">
        <v>126</v>
      </c>
      <c r="D193" s="95">
        <v>44092</v>
      </c>
      <c r="E193" s="94">
        <v>4340</v>
      </c>
      <c r="F193" s="94" t="s">
        <v>162</v>
      </c>
      <c r="G193" s="111" t="s">
        <v>172</v>
      </c>
      <c r="H193" s="127">
        <v>44092</v>
      </c>
      <c r="I193" s="87"/>
    </row>
    <row r="194" spans="1:9">
      <c r="A194" s="87" t="s">
        <v>115</v>
      </c>
      <c r="B194" s="87">
        <v>3198</v>
      </c>
      <c r="C194" s="87" t="s">
        <v>175</v>
      </c>
      <c r="D194" s="102">
        <v>44104</v>
      </c>
      <c r="E194" s="87">
        <f>2700+5400</f>
        <v>8100</v>
      </c>
      <c r="F194" s="87" t="s">
        <v>8</v>
      </c>
      <c r="G194" s="107" t="s">
        <v>176</v>
      </c>
      <c r="H194" s="102">
        <v>44104</v>
      </c>
    </row>
    <row r="195" spans="1:9">
      <c r="A195" s="87" t="s">
        <v>115</v>
      </c>
      <c r="B195" s="87">
        <v>3199</v>
      </c>
      <c r="C195" s="87" t="s">
        <v>177</v>
      </c>
      <c r="D195" s="102">
        <v>44104</v>
      </c>
      <c r="E195" s="87">
        <f>2700+5400</f>
        <v>8100</v>
      </c>
      <c r="F195" s="87" t="s">
        <v>8</v>
      </c>
      <c r="G195" s="107" t="s">
        <v>176</v>
      </c>
      <c r="H195" s="102">
        <v>44104</v>
      </c>
    </row>
    <row r="196" spans="1:9">
      <c r="A196" s="94" t="s">
        <v>115</v>
      </c>
      <c r="B196" s="94">
        <f>3199+1</f>
        <v>3200</v>
      </c>
      <c r="C196" s="94" t="s">
        <v>150</v>
      </c>
      <c r="D196" s="95">
        <v>44104</v>
      </c>
      <c r="E196" s="94">
        <v>2900</v>
      </c>
      <c r="F196" s="94" t="s">
        <v>161</v>
      </c>
      <c r="G196" s="94" t="s">
        <v>100</v>
      </c>
      <c r="H196" s="95">
        <v>44104</v>
      </c>
    </row>
    <row r="197" spans="1:9">
      <c r="A197" s="94" t="s">
        <v>115</v>
      </c>
      <c r="B197" s="94">
        <v>3201</v>
      </c>
      <c r="C197" s="94" t="s">
        <v>145</v>
      </c>
      <c r="D197" s="95">
        <v>44104</v>
      </c>
      <c r="E197" s="94">
        <v>500</v>
      </c>
      <c r="F197" s="94" t="s">
        <v>161</v>
      </c>
      <c r="G197" s="94" t="s">
        <v>100</v>
      </c>
      <c r="H197" s="95">
        <v>44104</v>
      </c>
    </row>
    <row r="198" spans="1:9">
      <c r="A198" s="87" t="s">
        <v>115</v>
      </c>
      <c r="B198" s="87">
        <v>3202</v>
      </c>
      <c r="C198" s="87" t="s">
        <v>131</v>
      </c>
      <c r="D198" s="102">
        <v>44104</v>
      </c>
      <c r="E198" s="87">
        <v>1100</v>
      </c>
      <c r="F198" s="87" t="s">
        <v>142</v>
      </c>
      <c r="G198" s="87" t="s">
        <v>100</v>
      </c>
      <c r="H198" s="102">
        <v>44104</v>
      </c>
    </row>
    <row r="199" spans="1:9">
      <c r="A199" s="87" t="s">
        <v>115</v>
      </c>
      <c r="B199" s="87">
        <v>3203</v>
      </c>
      <c r="C199" s="87" t="s">
        <v>128</v>
      </c>
      <c r="D199" s="102">
        <v>44104</v>
      </c>
      <c r="E199" s="87">
        <v>9200</v>
      </c>
      <c r="F199" s="87" t="s">
        <v>142</v>
      </c>
      <c r="G199" s="87" t="s">
        <v>100</v>
      </c>
      <c r="H199" s="102">
        <v>44104</v>
      </c>
    </row>
    <row r="200" spans="1:9">
      <c r="A200" s="94" t="s">
        <v>115</v>
      </c>
      <c r="B200" s="94">
        <v>3204</v>
      </c>
      <c r="C200" s="94" t="s">
        <v>134</v>
      </c>
      <c r="D200" s="95">
        <v>44104</v>
      </c>
      <c r="E200" s="94">
        <v>3100</v>
      </c>
      <c r="F200" s="94" t="s">
        <v>135</v>
      </c>
      <c r="G200" s="94" t="s">
        <v>100</v>
      </c>
      <c r="H200" s="95">
        <v>44104</v>
      </c>
    </row>
    <row r="201" spans="1:9">
      <c r="A201" s="94" t="s">
        <v>115</v>
      </c>
      <c r="B201" s="94">
        <v>3205</v>
      </c>
      <c r="C201" s="94" t="s">
        <v>147</v>
      </c>
      <c r="D201" s="95">
        <v>44104</v>
      </c>
      <c r="E201" s="94">
        <v>5200</v>
      </c>
      <c r="F201" s="94" t="s">
        <v>89</v>
      </c>
      <c r="G201" s="94" t="s">
        <v>100</v>
      </c>
      <c r="H201" s="95">
        <v>44104</v>
      </c>
    </row>
    <row r="202" spans="1:9">
      <c r="A202" s="87" t="s">
        <v>115</v>
      </c>
      <c r="B202" s="87">
        <v>3206</v>
      </c>
      <c r="C202" s="87" t="s">
        <v>130</v>
      </c>
      <c r="D202" s="102">
        <v>44104</v>
      </c>
      <c r="E202" s="87">
        <v>1500</v>
      </c>
      <c r="F202" s="87" t="s">
        <v>142</v>
      </c>
      <c r="G202" s="87" t="s">
        <v>100</v>
      </c>
      <c r="H202" s="102">
        <v>44104</v>
      </c>
    </row>
    <row r="203" spans="1:9">
      <c r="A203" s="94" t="s">
        <v>115</v>
      </c>
      <c r="B203" s="94">
        <v>3207</v>
      </c>
      <c r="C203" s="94" t="s">
        <v>144</v>
      </c>
      <c r="D203" s="95">
        <v>44104</v>
      </c>
      <c r="E203" s="94">
        <v>16500</v>
      </c>
      <c r="F203" s="94" t="s">
        <v>162</v>
      </c>
      <c r="G203" s="94" t="s">
        <v>100</v>
      </c>
      <c r="H203" s="95">
        <v>44104</v>
      </c>
    </row>
    <row r="204" spans="1:9">
      <c r="A204" s="87" t="s">
        <v>115</v>
      </c>
      <c r="B204" s="87">
        <v>3208</v>
      </c>
      <c r="C204" s="87" t="s">
        <v>140</v>
      </c>
      <c r="D204" s="102">
        <v>44104</v>
      </c>
      <c r="E204" s="87">
        <f>12000+3500+4800</f>
        <v>20300</v>
      </c>
      <c r="F204" s="87" t="s">
        <v>25</v>
      </c>
      <c r="G204" s="87" t="s">
        <v>105</v>
      </c>
      <c r="H204" s="102">
        <v>44104</v>
      </c>
    </row>
    <row r="205" spans="1:9">
      <c r="A205" s="87" t="s">
        <v>115</v>
      </c>
      <c r="B205" s="87">
        <v>3209</v>
      </c>
      <c r="C205" s="137" t="s">
        <v>152</v>
      </c>
      <c r="D205" s="102">
        <v>44104</v>
      </c>
      <c r="E205" s="87">
        <v>3500</v>
      </c>
      <c r="F205" s="87" t="s">
        <v>164</v>
      </c>
      <c r="G205" s="87" t="s">
        <v>100</v>
      </c>
      <c r="H205" s="102">
        <v>44104</v>
      </c>
    </row>
    <row r="206" spans="1:9">
      <c r="A206" s="87" t="s">
        <v>115</v>
      </c>
      <c r="B206" s="87">
        <v>3210</v>
      </c>
      <c r="C206" s="87" t="s">
        <v>129</v>
      </c>
      <c r="D206" s="102">
        <v>44104</v>
      </c>
      <c r="E206" s="87">
        <v>500</v>
      </c>
      <c r="F206" s="87" t="s">
        <v>142</v>
      </c>
      <c r="G206" s="87" t="s">
        <v>100</v>
      </c>
      <c r="H206" s="102">
        <v>44104</v>
      </c>
    </row>
    <row r="207" spans="1:9">
      <c r="A207" s="94" t="s">
        <v>115</v>
      </c>
      <c r="B207" s="94">
        <v>3211</v>
      </c>
      <c r="C207" s="138" t="s">
        <v>132</v>
      </c>
      <c r="D207" s="95">
        <v>44104</v>
      </c>
      <c r="E207" s="94">
        <v>2700</v>
      </c>
      <c r="F207" s="94" t="s">
        <v>135</v>
      </c>
      <c r="G207" s="94" t="s">
        <v>100</v>
      </c>
      <c r="H207" s="95">
        <v>44104</v>
      </c>
    </row>
    <row r="208" spans="1:9">
      <c r="A208" s="87" t="s">
        <v>115</v>
      </c>
      <c r="B208" s="87">
        <v>3212</v>
      </c>
      <c r="C208" s="87" t="s">
        <v>137</v>
      </c>
      <c r="D208" s="102">
        <v>44104</v>
      </c>
      <c r="E208" s="87">
        <v>3900</v>
      </c>
      <c r="F208" s="87" t="s">
        <v>135</v>
      </c>
      <c r="G208" s="87" t="s">
        <v>100</v>
      </c>
      <c r="H208" s="102">
        <v>44104</v>
      </c>
    </row>
    <row r="209" spans="1:9">
      <c r="A209" s="87" t="s">
        <v>115</v>
      </c>
      <c r="B209" s="87">
        <v>3213</v>
      </c>
      <c r="C209" s="87" t="s">
        <v>149</v>
      </c>
      <c r="D209" s="102">
        <v>44104</v>
      </c>
      <c r="E209" s="87">
        <v>2300</v>
      </c>
      <c r="F209" s="87" t="s">
        <v>135</v>
      </c>
      <c r="G209" s="87" t="s">
        <v>100</v>
      </c>
      <c r="H209" s="102">
        <v>44104</v>
      </c>
    </row>
    <row r="210" spans="1:9">
      <c r="A210" s="87" t="s">
        <v>115</v>
      </c>
      <c r="B210" s="87">
        <v>3214</v>
      </c>
      <c r="C210" s="87" t="s">
        <v>148</v>
      </c>
      <c r="D210" s="102">
        <v>44104</v>
      </c>
      <c r="E210" s="87">
        <v>4000</v>
      </c>
      <c r="F210" s="87" t="s">
        <v>166</v>
      </c>
      <c r="G210" s="87" t="s">
        <v>100</v>
      </c>
      <c r="H210" s="102">
        <v>44104</v>
      </c>
    </row>
    <row r="211" spans="1:9">
      <c r="A211" s="94" t="s">
        <v>115</v>
      </c>
      <c r="B211" s="94">
        <v>3215</v>
      </c>
      <c r="C211" s="94" t="s">
        <v>138</v>
      </c>
      <c r="D211" s="95">
        <v>44104</v>
      </c>
      <c r="E211" s="94">
        <v>1700</v>
      </c>
      <c r="F211" s="94" t="s">
        <v>135</v>
      </c>
      <c r="G211" s="94" t="s">
        <v>100</v>
      </c>
      <c r="H211" s="95">
        <v>44104</v>
      </c>
    </row>
    <row r="212" spans="1:9">
      <c r="A212" s="94" t="s">
        <v>115</v>
      </c>
      <c r="B212" s="94">
        <v>3216</v>
      </c>
      <c r="C212" s="94" t="s">
        <v>146</v>
      </c>
      <c r="D212" s="95">
        <v>44104</v>
      </c>
      <c r="E212" s="94">
        <v>1500</v>
      </c>
      <c r="F212" s="94" t="s">
        <v>135</v>
      </c>
      <c r="G212" s="94" t="s">
        <v>100</v>
      </c>
      <c r="H212" s="95">
        <v>44104</v>
      </c>
    </row>
    <row r="213" spans="1:9">
      <c r="A213" s="94" t="s">
        <v>115</v>
      </c>
      <c r="B213" s="94">
        <v>3217</v>
      </c>
      <c r="C213" s="87" t="s">
        <v>155</v>
      </c>
      <c r="D213" s="95">
        <v>44104</v>
      </c>
      <c r="E213" s="94">
        <v>9000</v>
      </c>
      <c r="F213" s="94" t="s">
        <v>89</v>
      </c>
      <c r="G213" s="94" t="s">
        <v>105</v>
      </c>
      <c r="H213" s="95">
        <v>44104</v>
      </c>
      <c r="I213" t="s">
        <v>178</v>
      </c>
    </row>
    <row r="214" spans="1:9">
      <c r="A214" s="87" t="s">
        <v>115</v>
      </c>
      <c r="B214" s="87">
        <v>3218</v>
      </c>
      <c r="C214" s="87" t="s">
        <v>127</v>
      </c>
      <c r="D214" s="102">
        <v>44104</v>
      </c>
      <c r="E214" s="87">
        <v>5400</v>
      </c>
      <c r="F214" s="87" t="s">
        <v>157</v>
      </c>
      <c r="G214" s="87" t="s">
        <v>100</v>
      </c>
      <c r="H214" s="102">
        <v>44104</v>
      </c>
    </row>
    <row r="215" spans="1:9">
      <c r="A215" s="87" t="s">
        <v>115</v>
      </c>
      <c r="B215" s="87">
        <v>3219</v>
      </c>
      <c r="C215" s="87" t="s">
        <v>140</v>
      </c>
      <c r="D215" s="102">
        <v>44104</v>
      </c>
      <c r="E215" s="87">
        <v>4800</v>
      </c>
      <c r="F215" s="87" t="s">
        <v>157</v>
      </c>
      <c r="G215" s="87" t="s">
        <v>105</v>
      </c>
      <c r="H215" s="102">
        <v>44106</v>
      </c>
    </row>
    <row r="216" spans="1:9">
      <c r="A216" s="94" t="s">
        <v>115</v>
      </c>
      <c r="B216" s="94">
        <v>3220</v>
      </c>
      <c r="C216" s="94" t="s">
        <v>123</v>
      </c>
      <c r="D216" s="95">
        <v>44104</v>
      </c>
      <c r="E216" s="94">
        <v>10152</v>
      </c>
      <c r="F216" s="94" t="s">
        <v>162</v>
      </c>
      <c r="G216" s="94" t="s">
        <v>100</v>
      </c>
      <c r="H216" s="95">
        <v>44109</v>
      </c>
    </row>
    <row r="217" spans="1:9">
      <c r="A217" s="94" t="s">
        <v>115</v>
      </c>
      <c r="B217" s="94">
        <v>3221</v>
      </c>
      <c r="C217" s="94" t="s">
        <v>170</v>
      </c>
      <c r="D217" s="95">
        <v>44130</v>
      </c>
      <c r="E217" s="94">
        <v>2900</v>
      </c>
      <c r="F217" s="94" t="s">
        <v>161</v>
      </c>
      <c r="G217" s="94" t="s">
        <v>111</v>
      </c>
      <c r="H217" s="95">
        <v>44130</v>
      </c>
    </row>
    <row r="218" spans="1:9">
      <c r="A218" s="94" t="s">
        <v>115</v>
      </c>
      <c r="B218" s="94">
        <v>3222</v>
      </c>
      <c r="C218" s="94" t="s">
        <v>145</v>
      </c>
      <c r="D218" s="95">
        <v>44130</v>
      </c>
      <c r="E218" s="94">
        <v>500</v>
      </c>
      <c r="F218" s="94" t="s">
        <v>161</v>
      </c>
      <c r="G218" s="94" t="s">
        <v>111</v>
      </c>
      <c r="H218" s="95">
        <v>44130</v>
      </c>
    </row>
    <row r="219" spans="1:9">
      <c r="A219" s="103" t="s">
        <v>115</v>
      </c>
      <c r="B219" s="103">
        <v>3223</v>
      </c>
      <c r="C219" s="103" t="s">
        <v>144</v>
      </c>
      <c r="D219" s="104">
        <v>44130</v>
      </c>
      <c r="E219" s="103">
        <v>16500</v>
      </c>
      <c r="F219" s="103" t="s">
        <v>162</v>
      </c>
      <c r="G219" s="103" t="s">
        <v>111</v>
      </c>
      <c r="H219" s="104">
        <v>44130</v>
      </c>
    </row>
    <row r="220" spans="1:9">
      <c r="A220" s="87" t="s">
        <v>115</v>
      </c>
      <c r="B220" s="87">
        <v>3224</v>
      </c>
      <c r="C220" s="87" t="s">
        <v>131</v>
      </c>
      <c r="D220" s="102">
        <v>44130</v>
      </c>
      <c r="E220" s="87">
        <v>1100</v>
      </c>
      <c r="F220" s="87" t="s">
        <v>142</v>
      </c>
      <c r="G220" s="87" t="s">
        <v>111</v>
      </c>
      <c r="H220" s="102">
        <v>44130</v>
      </c>
    </row>
    <row r="221" spans="1:9">
      <c r="A221" s="87" t="s">
        <v>115</v>
      </c>
      <c r="B221" s="87">
        <v>3225</v>
      </c>
      <c r="C221" s="87" t="s">
        <v>128</v>
      </c>
      <c r="D221" s="102">
        <v>44130</v>
      </c>
      <c r="E221" s="87">
        <v>9200</v>
      </c>
      <c r="F221" s="87" t="s">
        <v>142</v>
      </c>
      <c r="G221" s="87" t="s">
        <v>111</v>
      </c>
      <c r="H221" s="102">
        <v>44130</v>
      </c>
    </row>
    <row r="222" spans="1:9">
      <c r="A222" s="87" t="s">
        <v>115</v>
      </c>
      <c r="B222" s="87">
        <v>3226</v>
      </c>
      <c r="C222" s="87" t="s">
        <v>130</v>
      </c>
      <c r="D222" s="102">
        <v>44130</v>
      </c>
      <c r="E222" s="87">
        <v>1500</v>
      </c>
      <c r="F222" s="87" t="s">
        <v>142</v>
      </c>
      <c r="G222" s="87" t="s">
        <v>111</v>
      </c>
      <c r="H222" s="102">
        <v>44130</v>
      </c>
    </row>
    <row r="223" spans="1:9">
      <c r="A223" s="87" t="s">
        <v>115</v>
      </c>
      <c r="B223" s="87">
        <v>3227</v>
      </c>
      <c r="C223" s="87" t="s">
        <v>129</v>
      </c>
      <c r="D223" s="102">
        <v>44130</v>
      </c>
      <c r="E223" s="87">
        <v>500</v>
      </c>
      <c r="F223" s="87" t="s">
        <v>142</v>
      </c>
      <c r="G223" s="87" t="s">
        <v>111</v>
      </c>
      <c r="H223" s="102">
        <v>44130</v>
      </c>
    </row>
    <row r="224" spans="1:9">
      <c r="A224" s="94" t="s">
        <v>115</v>
      </c>
      <c r="B224" s="94">
        <v>3228</v>
      </c>
      <c r="C224" s="94" t="s">
        <v>134</v>
      </c>
      <c r="D224" s="95">
        <v>44130</v>
      </c>
      <c r="E224" s="94">
        <v>3100</v>
      </c>
      <c r="F224" s="94" t="s">
        <v>135</v>
      </c>
      <c r="G224" s="94" t="s">
        <v>111</v>
      </c>
      <c r="H224" s="95">
        <v>44130</v>
      </c>
    </row>
    <row r="225" spans="1:9">
      <c r="A225" s="94" t="s">
        <v>115</v>
      </c>
      <c r="B225" s="94">
        <v>3229</v>
      </c>
      <c r="C225" s="94" t="s">
        <v>147</v>
      </c>
      <c r="D225" s="95">
        <v>44130</v>
      </c>
      <c r="E225" s="94">
        <v>5200</v>
      </c>
      <c r="F225" s="94" t="s">
        <v>89</v>
      </c>
      <c r="G225" s="94" t="s">
        <v>111</v>
      </c>
      <c r="H225" s="95">
        <v>44130</v>
      </c>
    </row>
    <row r="226" spans="1:9">
      <c r="A226" s="87" t="s">
        <v>115</v>
      </c>
      <c r="B226" s="87">
        <v>3230</v>
      </c>
      <c r="C226" s="118" t="s">
        <v>152</v>
      </c>
      <c r="D226" s="102">
        <v>44130</v>
      </c>
      <c r="E226" s="87">
        <v>3500</v>
      </c>
      <c r="F226" s="87" t="s">
        <v>164</v>
      </c>
      <c r="G226" s="87" t="s">
        <v>111</v>
      </c>
      <c r="H226" s="102">
        <v>44130</v>
      </c>
    </row>
    <row r="227" spans="1:9">
      <c r="A227" s="94" t="s">
        <v>115</v>
      </c>
      <c r="B227" s="94">
        <v>3231</v>
      </c>
      <c r="C227" s="94" t="s">
        <v>132</v>
      </c>
      <c r="D227" s="95">
        <v>44130</v>
      </c>
      <c r="E227" s="94">
        <f>3000+3700</f>
        <v>6700</v>
      </c>
      <c r="F227" s="94" t="s">
        <v>135</v>
      </c>
      <c r="G227" s="94" t="s">
        <v>111</v>
      </c>
      <c r="H227" s="95">
        <v>44130</v>
      </c>
    </row>
    <row r="228" spans="1:9">
      <c r="A228" s="87" t="s">
        <v>115</v>
      </c>
      <c r="B228" s="87">
        <v>3232</v>
      </c>
      <c r="C228" s="87" t="s">
        <v>141</v>
      </c>
      <c r="D228" s="102">
        <v>44130</v>
      </c>
      <c r="E228" s="87">
        <v>1800</v>
      </c>
      <c r="F228" s="87" t="s">
        <v>142</v>
      </c>
      <c r="G228" s="87" t="s">
        <v>111</v>
      </c>
      <c r="H228" s="102">
        <v>44131</v>
      </c>
    </row>
    <row r="229" spans="1:9">
      <c r="A229" s="99" t="s">
        <v>115</v>
      </c>
      <c r="B229">
        <v>3235</v>
      </c>
      <c r="C229" s="99" t="s">
        <v>137</v>
      </c>
      <c r="D229" s="92">
        <v>44130</v>
      </c>
      <c r="E229" s="99">
        <v>3900</v>
      </c>
      <c r="F229" t="s">
        <v>135</v>
      </c>
      <c r="G229" s="99" t="s">
        <v>111</v>
      </c>
      <c r="H229" s="92">
        <v>44130</v>
      </c>
    </row>
    <row r="230" spans="1:9">
      <c r="A230" s="99" t="s">
        <v>115</v>
      </c>
      <c r="B230">
        <v>3236</v>
      </c>
      <c r="C230" s="99" t="s">
        <v>149</v>
      </c>
      <c r="D230" s="92">
        <v>44130</v>
      </c>
      <c r="E230" s="99">
        <v>2300</v>
      </c>
      <c r="F230" t="s">
        <v>135</v>
      </c>
      <c r="G230" s="99" t="s">
        <v>111</v>
      </c>
      <c r="H230" s="92">
        <v>44130</v>
      </c>
    </row>
    <row r="231" spans="1:9">
      <c r="A231" s="99" t="s">
        <v>115</v>
      </c>
      <c r="B231">
        <v>3237</v>
      </c>
      <c r="C231" s="99" t="s">
        <v>148</v>
      </c>
      <c r="D231" s="92">
        <v>44130</v>
      </c>
      <c r="E231" s="99">
        <v>4000</v>
      </c>
      <c r="F231" t="s">
        <v>166</v>
      </c>
      <c r="G231" s="99" t="s">
        <v>111</v>
      </c>
      <c r="H231" s="92">
        <v>44131</v>
      </c>
    </row>
    <row r="232" spans="1:9">
      <c r="A232" s="87" t="s">
        <v>115</v>
      </c>
      <c r="B232" s="87">
        <v>3238</v>
      </c>
      <c r="C232" s="87" t="s">
        <v>138</v>
      </c>
      <c r="D232" s="102">
        <v>44130</v>
      </c>
      <c r="E232">
        <v>1700</v>
      </c>
      <c r="F232" s="87" t="s">
        <v>135</v>
      </c>
      <c r="G232" s="87" t="s">
        <v>111</v>
      </c>
      <c r="H232" s="102">
        <v>44131</v>
      </c>
    </row>
    <row r="233" spans="1:9">
      <c r="A233" s="94" t="s">
        <v>115</v>
      </c>
      <c r="B233" s="94">
        <v>3239</v>
      </c>
      <c r="C233" s="94" t="s">
        <v>146</v>
      </c>
      <c r="D233" s="95">
        <v>44130</v>
      </c>
      <c r="E233" s="94">
        <v>1500</v>
      </c>
      <c r="F233" s="94" t="s">
        <v>135</v>
      </c>
      <c r="G233" s="94" t="s">
        <v>111</v>
      </c>
      <c r="H233" s="95">
        <v>44131</v>
      </c>
      <c r="I233" t="s">
        <v>179</v>
      </c>
    </row>
    <row r="234" spans="1:9">
      <c r="A234" s="87" t="s">
        <v>115</v>
      </c>
      <c r="B234" s="87">
        <v>3240</v>
      </c>
      <c r="C234" s="87" t="s">
        <v>127</v>
      </c>
      <c r="D234" s="102">
        <v>44131</v>
      </c>
      <c r="E234" s="87">
        <v>5400</v>
      </c>
      <c r="F234" s="87" t="s">
        <v>157</v>
      </c>
      <c r="G234" s="87" t="s">
        <v>111</v>
      </c>
      <c r="H234" s="102">
        <v>44131</v>
      </c>
    </row>
    <row r="235" spans="1:9">
      <c r="A235" s="94" t="s">
        <v>115</v>
      </c>
      <c r="B235" s="94">
        <v>3241</v>
      </c>
      <c r="C235" s="94" t="s">
        <v>116</v>
      </c>
      <c r="D235" s="95">
        <v>44134</v>
      </c>
      <c r="E235" s="94">
        <v>5000</v>
      </c>
      <c r="F235" s="94" t="s">
        <v>162</v>
      </c>
      <c r="G235" s="111" t="s">
        <v>100</v>
      </c>
      <c r="H235" s="95">
        <v>44134</v>
      </c>
      <c r="I235" t="s">
        <v>180</v>
      </c>
    </row>
    <row r="236" spans="1:9">
      <c r="A236" s="87" t="s">
        <v>115</v>
      </c>
      <c r="B236" s="87">
        <v>3242</v>
      </c>
      <c r="C236" s="87" t="s">
        <v>118</v>
      </c>
      <c r="D236" s="102">
        <v>44134</v>
      </c>
      <c r="E236" s="87">
        <v>700</v>
      </c>
      <c r="F236" s="87" t="s">
        <v>162</v>
      </c>
      <c r="G236" s="107" t="s">
        <v>100</v>
      </c>
      <c r="H236" s="102">
        <v>44134</v>
      </c>
    </row>
    <row r="237" spans="1:9">
      <c r="A237" s="94" t="s">
        <v>115</v>
      </c>
      <c r="B237" s="94">
        <v>3243</v>
      </c>
      <c r="C237" s="94" t="s">
        <v>119</v>
      </c>
      <c r="D237" s="95">
        <v>44134</v>
      </c>
      <c r="E237" s="94">
        <v>4700</v>
      </c>
      <c r="F237" s="94" t="s">
        <v>162</v>
      </c>
      <c r="G237" s="111" t="s">
        <v>100</v>
      </c>
      <c r="H237" s="95">
        <v>44134</v>
      </c>
      <c r="I237" s="87" t="s">
        <v>181</v>
      </c>
    </row>
    <row r="238" spans="1:9">
      <c r="A238" s="87" t="s">
        <v>115</v>
      </c>
      <c r="B238" s="87">
        <v>3244</v>
      </c>
      <c r="C238" s="87" t="s">
        <v>121</v>
      </c>
      <c r="D238" s="102">
        <v>44134</v>
      </c>
      <c r="E238" s="87">
        <v>1525</v>
      </c>
      <c r="F238" s="87" t="s">
        <v>162</v>
      </c>
      <c r="G238" s="107" t="s">
        <v>100</v>
      </c>
      <c r="H238" s="102">
        <v>44134</v>
      </c>
    </row>
    <row r="239" spans="1:9">
      <c r="A239" s="94" t="s">
        <v>115</v>
      </c>
      <c r="B239" s="94">
        <v>3245</v>
      </c>
      <c r="C239" s="94" t="s">
        <v>173</v>
      </c>
      <c r="D239" s="95">
        <v>44134</v>
      </c>
      <c r="E239" s="94">
        <v>300</v>
      </c>
      <c r="F239" s="94" t="s">
        <v>162</v>
      </c>
      <c r="G239" s="111" t="s">
        <v>100</v>
      </c>
      <c r="H239" s="95">
        <v>44134</v>
      </c>
      <c r="I239" t="s">
        <v>182</v>
      </c>
    </row>
    <row r="240" spans="1:9">
      <c r="A240" s="94" t="s">
        <v>115</v>
      </c>
      <c r="B240" s="94">
        <v>3246</v>
      </c>
      <c r="C240" s="94" t="s">
        <v>122</v>
      </c>
      <c r="D240" s="95">
        <v>44134</v>
      </c>
      <c r="E240" s="94">
        <v>300</v>
      </c>
      <c r="F240" s="94" t="s">
        <v>162</v>
      </c>
      <c r="G240" s="111" t="s">
        <v>100</v>
      </c>
      <c r="H240" s="95">
        <v>44134</v>
      </c>
      <c r="I240" t="s">
        <v>183</v>
      </c>
    </row>
    <row r="241" spans="1:9">
      <c r="A241" s="87" t="s">
        <v>115</v>
      </c>
      <c r="B241" s="87">
        <v>3247</v>
      </c>
      <c r="C241" s="87" t="s">
        <v>124</v>
      </c>
      <c r="D241" s="102">
        <v>44134</v>
      </c>
      <c r="E241" s="87">
        <v>500</v>
      </c>
      <c r="F241" s="87" t="s">
        <v>162</v>
      </c>
      <c r="G241" s="107" t="s">
        <v>100</v>
      </c>
      <c r="H241" s="102">
        <v>44134</v>
      </c>
    </row>
    <row r="242" spans="1:9">
      <c r="A242" s="87" t="s">
        <v>115</v>
      </c>
      <c r="B242" s="87">
        <v>3248</v>
      </c>
      <c r="C242" s="87" t="s">
        <v>125</v>
      </c>
      <c r="D242" s="102">
        <v>44134</v>
      </c>
      <c r="E242" s="87">
        <v>400</v>
      </c>
      <c r="F242" s="87" t="s">
        <v>162</v>
      </c>
      <c r="G242" s="107" t="s">
        <v>100</v>
      </c>
      <c r="H242" s="102">
        <v>44134</v>
      </c>
    </row>
    <row r="243" spans="1:9">
      <c r="A243" s="139" t="s">
        <v>115</v>
      </c>
      <c r="B243" s="139">
        <v>3249</v>
      </c>
      <c r="C243" s="139" t="s">
        <v>126</v>
      </c>
      <c r="D243" s="140">
        <v>44134</v>
      </c>
      <c r="E243" s="139">
        <v>5200</v>
      </c>
      <c r="F243" s="139" t="s">
        <v>162</v>
      </c>
      <c r="G243" s="141" t="s">
        <v>100</v>
      </c>
      <c r="H243" s="142">
        <v>44134</v>
      </c>
      <c r="I243" s="87"/>
    </row>
    <row r="244" spans="1:9">
      <c r="A244" s="94" t="s">
        <v>115</v>
      </c>
      <c r="B244" s="94">
        <v>3250</v>
      </c>
      <c r="C244" s="94" t="s">
        <v>146</v>
      </c>
      <c r="D244" s="95">
        <v>44141</v>
      </c>
      <c r="E244" s="94">
        <f>700+3000</f>
        <v>3700</v>
      </c>
      <c r="F244" s="94" t="s">
        <v>135</v>
      </c>
      <c r="G244" s="94" t="s">
        <v>111</v>
      </c>
      <c r="H244" s="95">
        <v>44141</v>
      </c>
      <c r="I244" t="s">
        <v>184</v>
      </c>
    </row>
    <row r="245" spans="1:9">
      <c r="A245" s="94" t="s">
        <v>115</v>
      </c>
      <c r="B245" s="94">
        <v>3251</v>
      </c>
      <c r="C245" s="94" t="s">
        <v>116</v>
      </c>
      <c r="D245" s="95">
        <v>44154</v>
      </c>
      <c r="E245" s="94">
        <v>2000</v>
      </c>
      <c r="F245" s="94" t="s">
        <v>162</v>
      </c>
      <c r="G245" s="95" t="s">
        <v>111</v>
      </c>
      <c r="H245" s="95">
        <v>44154</v>
      </c>
      <c r="I245" t="s">
        <v>185</v>
      </c>
    </row>
    <row r="246" spans="1:9">
      <c r="A246" s="87" t="s">
        <v>115</v>
      </c>
      <c r="B246" s="87">
        <v>3252</v>
      </c>
      <c r="C246" s="87" t="s">
        <v>118</v>
      </c>
      <c r="D246" s="102">
        <v>44154</v>
      </c>
      <c r="E246" s="87">
        <v>700</v>
      </c>
      <c r="F246" s="87" t="s">
        <v>162</v>
      </c>
      <c r="G246" s="102" t="s">
        <v>111</v>
      </c>
      <c r="H246" s="102">
        <v>44154</v>
      </c>
    </row>
    <row r="247" spans="1:9">
      <c r="A247" s="94" t="s">
        <v>115</v>
      </c>
      <c r="B247" s="94">
        <v>3253</v>
      </c>
      <c r="C247" s="94" t="s">
        <v>119</v>
      </c>
      <c r="D247" s="95">
        <v>44154</v>
      </c>
      <c r="E247" s="94">
        <v>1700</v>
      </c>
      <c r="F247" s="94" t="s">
        <v>162</v>
      </c>
      <c r="G247" s="95" t="s">
        <v>111</v>
      </c>
      <c r="H247" s="95">
        <v>44154</v>
      </c>
      <c r="I247" s="87" t="s">
        <v>181</v>
      </c>
    </row>
    <row r="248" spans="1:9">
      <c r="A248" s="87" t="s">
        <v>115</v>
      </c>
      <c r="B248" s="87">
        <v>3254</v>
      </c>
      <c r="C248" s="87" t="s">
        <v>121</v>
      </c>
      <c r="D248" s="102">
        <v>44154</v>
      </c>
      <c r="E248" s="87">
        <v>1450</v>
      </c>
      <c r="F248" s="87" t="s">
        <v>162</v>
      </c>
      <c r="G248" s="102" t="s">
        <v>111</v>
      </c>
      <c r="H248" s="102">
        <v>44154</v>
      </c>
    </row>
    <row r="249" spans="1:9">
      <c r="A249" s="94" t="s">
        <v>115</v>
      </c>
      <c r="B249" s="94">
        <v>3255</v>
      </c>
      <c r="C249" s="94" t="s">
        <v>173</v>
      </c>
      <c r="D249" s="95">
        <v>44154</v>
      </c>
      <c r="E249" s="94">
        <v>300</v>
      </c>
      <c r="F249" s="94" t="s">
        <v>162</v>
      </c>
      <c r="G249" s="95" t="s">
        <v>111</v>
      </c>
      <c r="H249" s="95">
        <v>44154</v>
      </c>
      <c r="I249" t="s">
        <v>182</v>
      </c>
    </row>
    <row r="250" spans="1:9">
      <c r="A250" s="94" t="s">
        <v>115</v>
      </c>
      <c r="B250" s="94">
        <v>3256</v>
      </c>
      <c r="C250" s="94" t="s">
        <v>122</v>
      </c>
      <c r="D250" s="95">
        <v>44154</v>
      </c>
      <c r="E250" s="94">
        <v>300</v>
      </c>
      <c r="F250" s="94" t="s">
        <v>162</v>
      </c>
      <c r="G250" s="95" t="s">
        <v>111</v>
      </c>
      <c r="H250" s="95">
        <v>44154</v>
      </c>
      <c r="I250" t="s">
        <v>183</v>
      </c>
    </row>
    <row r="251" spans="1:9">
      <c r="A251" s="87" t="s">
        <v>115</v>
      </c>
      <c r="B251" s="87">
        <v>3257</v>
      </c>
      <c r="C251" s="87" t="s">
        <v>124</v>
      </c>
      <c r="D251" s="102">
        <v>44154</v>
      </c>
      <c r="E251" s="87">
        <v>500</v>
      </c>
      <c r="F251" s="87" t="s">
        <v>162</v>
      </c>
      <c r="G251" s="102" t="s">
        <v>111</v>
      </c>
      <c r="H251" s="102">
        <v>44154</v>
      </c>
    </row>
    <row r="252" spans="1:9">
      <c r="A252" s="87" t="s">
        <v>115</v>
      </c>
      <c r="B252" s="87">
        <v>3258</v>
      </c>
      <c r="C252" s="87" t="s">
        <v>125</v>
      </c>
      <c r="D252" s="102">
        <v>44154</v>
      </c>
      <c r="E252" s="87">
        <v>400</v>
      </c>
      <c r="F252" s="87" t="s">
        <v>162</v>
      </c>
      <c r="G252" s="102" t="s">
        <v>111</v>
      </c>
      <c r="H252" s="102">
        <v>44154</v>
      </c>
    </row>
    <row r="253" spans="1:9">
      <c r="A253" s="139" t="s">
        <v>115</v>
      </c>
      <c r="B253" s="139">
        <v>3259</v>
      </c>
      <c r="C253" s="139" t="s">
        <v>126</v>
      </c>
      <c r="D253" s="140">
        <v>44154</v>
      </c>
      <c r="E253" s="139">
        <v>2100</v>
      </c>
      <c r="F253" s="139" t="s">
        <v>162</v>
      </c>
      <c r="G253" s="140" t="s">
        <v>111</v>
      </c>
      <c r="H253" s="142">
        <v>44154</v>
      </c>
      <c r="I253" s="87"/>
    </row>
    <row r="254" spans="1:9">
      <c r="A254" s="87" t="s">
        <v>115</v>
      </c>
      <c r="B254" s="87">
        <v>3260</v>
      </c>
      <c r="C254" s="87" t="s">
        <v>123</v>
      </c>
      <c r="D254" s="102">
        <v>44154</v>
      </c>
      <c r="E254" s="87">
        <v>9924</v>
      </c>
      <c r="F254" s="87" t="s">
        <v>162</v>
      </c>
      <c r="G254" s="102" t="s">
        <v>111</v>
      </c>
      <c r="H254" s="102">
        <v>44154</v>
      </c>
    </row>
    <row r="255" spans="1:9">
      <c r="A255" s="94" t="s">
        <v>115</v>
      </c>
      <c r="B255" s="94">
        <v>3261</v>
      </c>
      <c r="C255" s="94" t="s">
        <v>170</v>
      </c>
      <c r="D255" s="95">
        <v>44160</v>
      </c>
      <c r="E255" s="94">
        <v>2900</v>
      </c>
      <c r="F255" s="94" t="s">
        <v>161</v>
      </c>
      <c r="G255" s="94" t="s">
        <v>113</v>
      </c>
      <c r="H255" s="95">
        <v>44160</v>
      </c>
      <c r="I255" t="s">
        <v>186</v>
      </c>
    </row>
    <row r="256" spans="1:9">
      <c r="A256" s="87" t="s">
        <v>115</v>
      </c>
      <c r="B256" s="87">
        <v>3262</v>
      </c>
      <c r="C256" s="87" t="s">
        <v>145</v>
      </c>
      <c r="D256" s="102">
        <v>44160</v>
      </c>
      <c r="E256" s="87">
        <v>500</v>
      </c>
      <c r="F256" s="87" t="s">
        <v>162</v>
      </c>
      <c r="G256" s="87" t="s">
        <v>113</v>
      </c>
      <c r="H256" s="102">
        <v>44160</v>
      </c>
    </row>
    <row r="257" spans="1:9">
      <c r="A257" s="103" t="s">
        <v>115</v>
      </c>
      <c r="B257" s="103">
        <v>3263</v>
      </c>
      <c r="C257" s="103" t="s">
        <v>144</v>
      </c>
      <c r="D257" s="104">
        <v>44160</v>
      </c>
      <c r="E257" s="103">
        <v>16500</v>
      </c>
      <c r="F257" s="103" t="s">
        <v>162</v>
      </c>
      <c r="G257" s="103" t="s">
        <v>113</v>
      </c>
      <c r="H257" s="104">
        <v>44160</v>
      </c>
      <c r="I257" t="s">
        <v>187</v>
      </c>
    </row>
    <row r="258" spans="1:9">
      <c r="A258" s="87" t="s">
        <v>115</v>
      </c>
      <c r="B258" s="87">
        <v>3264</v>
      </c>
      <c r="C258" s="87" t="s">
        <v>131</v>
      </c>
      <c r="D258" s="102">
        <v>44160</v>
      </c>
      <c r="E258" s="87">
        <v>1100</v>
      </c>
      <c r="F258" s="87" t="s">
        <v>142</v>
      </c>
      <c r="G258" s="87" t="s">
        <v>113</v>
      </c>
      <c r="H258" s="102">
        <v>44160</v>
      </c>
    </row>
    <row r="259" spans="1:9">
      <c r="A259" s="87" t="s">
        <v>115</v>
      </c>
      <c r="B259" s="87">
        <v>3265</v>
      </c>
      <c r="C259" s="87" t="s">
        <v>128</v>
      </c>
      <c r="D259" s="102">
        <v>44160</v>
      </c>
      <c r="E259" s="87">
        <v>9200</v>
      </c>
      <c r="F259" s="87" t="s">
        <v>142</v>
      </c>
      <c r="G259" s="87" t="s">
        <v>113</v>
      </c>
      <c r="H259" s="102">
        <v>44160</v>
      </c>
    </row>
    <row r="260" spans="1:9">
      <c r="A260" s="87" t="s">
        <v>115</v>
      </c>
      <c r="B260" s="87">
        <v>3266</v>
      </c>
      <c r="C260" s="87" t="s">
        <v>130</v>
      </c>
      <c r="D260" s="102">
        <v>44160</v>
      </c>
      <c r="E260" s="87">
        <v>1500</v>
      </c>
      <c r="F260" s="87" t="s">
        <v>142</v>
      </c>
      <c r="G260" s="87" t="s">
        <v>113</v>
      </c>
      <c r="H260" s="102">
        <v>44160</v>
      </c>
    </row>
    <row r="261" spans="1:9">
      <c r="A261" s="87" t="s">
        <v>115</v>
      </c>
      <c r="B261" s="87">
        <v>3267</v>
      </c>
      <c r="C261" s="87" t="s">
        <v>129</v>
      </c>
      <c r="D261" s="102">
        <v>44160</v>
      </c>
      <c r="E261" s="87">
        <v>500</v>
      </c>
      <c r="F261" s="87" t="s">
        <v>142</v>
      </c>
      <c r="G261" s="87" t="s">
        <v>113</v>
      </c>
      <c r="H261" s="102">
        <v>44160</v>
      </c>
    </row>
    <row r="262" spans="1:9">
      <c r="A262" s="94" t="s">
        <v>115</v>
      </c>
      <c r="B262" s="94">
        <v>3268</v>
      </c>
      <c r="C262" s="94" t="s">
        <v>134</v>
      </c>
      <c r="D262" s="95">
        <v>44160</v>
      </c>
      <c r="E262" s="94">
        <v>3100</v>
      </c>
      <c r="F262" s="94" t="s">
        <v>135</v>
      </c>
      <c r="G262" s="94" t="s">
        <v>113</v>
      </c>
      <c r="H262" s="95">
        <v>44160</v>
      </c>
    </row>
    <row r="263" spans="1:9">
      <c r="A263" s="94" t="s">
        <v>115</v>
      </c>
      <c r="B263" s="94">
        <v>3269</v>
      </c>
      <c r="C263" s="94" t="s">
        <v>147</v>
      </c>
      <c r="D263" s="95">
        <v>44161</v>
      </c>
      <c r="E263" s="94">
        <v>5200</v>
      </c>
      <c r="F263" s="94" t="s">
        <v>89</v>
      </c>
      <c r="G263" s="94" t="s">
        <v>113</v>
      </c>
      <c r="H263" s="95">
        <v>44161</v>
      </c>
    </row>
    <row r="264" spans="1:9">
      <c r="A264" s="87" t="s">
        <v>115</v>
      </c>
      <c r="B264" s="87">
        <v>3270</v>
      </c>
      <c r="C264" s="118" t="s">
        <v>152</v>
      </c>
      <c r="D264" s="102">
        <v>44160</v>
      </c>
      <c r="E264" s="87">
        <v>3500</v>
      </c>
      <c r="F264" s="87" t="s">
        <v>164</v>
      </c>
      <c r="G264" s="87" t="s">
        <v>113</v>
      </c>
      <c r="H264" s="102">
        <v>44160</v>
      </c>
    </row>
    <row r="265" spans="1:9">
      <c r="A265" s="94" t="s">
        <v>115</v>
      </c>
      <c r="B265" s="94">
        <v>3271</v>
      </c>
      <c r="C265" s="94" t="s">
        <v>132</v>
      </c>
      <c r="D265" s="95">
        <v>44160</v>
      </c>
      <c r="E265" s="94">
        <v>3700</v>
      </c>
      <c r="F265" s="94" t="s">
        <v>135</v>
      </c>
      <c r="G265" s="94" t="s">
        <v>113</v>
      </c>
      <c r="H265" s="95">
        <v>44160</v>
      </c>
      <c r="I265" t="s">
        <v>188</v>
      </c>
    </row>
    <row r="266" spans="1:9">
      <c r="A266" s="87" t="s">
        <v>115</v>
      </c>
      <c r="B266" s="87">
        <v>3272</v>
      </c>
      <c r="C266" s="87" t="s">
        <v>141</v>
      </c>
      <c r="D266" s="102">
        <v>44160</v>
      </c>
      <c r="E266" s="87">
        <v>1800</v>
      </c>
      <c r="F266" s="87" t="s">
        <v>142</v>
      </c>
      <c r="G266" s="87" t="s">
        <v>113</v>
      </c>
      <c r="H266" s="102">
        <v>44160</v>
      </c>
    </row>
    <row r="267" spans="1:9">
      <c r="A267" s="87" t="s">
        <v>115</v>
      </c>
      <c r="B267" s="87">
        <v>3273</v>
      </c>
      <c r="C267" s="87" t="s">
        <v>137</v>
      </c>
      <c r="D267" s="102">
        <v>44160</v>
      </c>
      <c r="E267" s="87">
        <v>3900</v>
      </c>
      <c r="F267" s="87" t="s">
        <v>135</v>
      </c>
      <c r="G267" s="87" t="s">
        <v>113</v>
      </c>
      <c r="H267" s="102">
        <v>44160</v>
      </c>
    </row>
    <row r="268" spans="1:9">
      <c r="A268" s="87" t="s">
        <v>115</v>
      </c>
      <c r="B268" s="87">
        <v>3274</v>
      </c>
      <c r="C268" s="87" t="s">
        <v>149</v>
      </c>
      <c r="D268" s="102">
        <v>44160</v>
      </c>
      <c r="E268" s="87">
        <v>2300</v>
      </c>
      <c r="F268" s="87"/>
      <c r="G268" s="87" t="s">
        <v>113</v>
      </c>
      <c r="H268" s="102">
        <v>44160</v>
      </c>
    </row>
    <row r="269" spans="1:9">
      <c r="A269" s="87" t="s">
        <v>115</v>
      </c>
      <c r="B269" s="87">
        <v>3275</v>
      </c>
      <c r="C269" s="87" t="s">
        <v>148</v>
      </c>
      <c r="D269" s="102">
        <v>44160</v>
      </c>
      <c r="E269" s="87">
        <v>4000</v>
      </c>
      <c r="F269" s="87" t="s">
        <v>166</v>
      </c>
      <c r="G269" s="87" t="s">
        <v>113</v>
      </c>
      <c r="H269" s="102">
        <v>44160</v>
      </c>
    </row>
    <row r="270" spans="1:9">
      <c r="A270" s="87" t="s">
        <v>115</v>
      </c>
      <c r="B270" s="87">
        <v>3276</v>
      </c>
      <c r="C270" s="87" t="s">
        <v>138</v>
      </c>
      <c r="D270" s="102">
        <v>44160</v>
      </c>
      <c r="E270" s="87">
        <v>1700</v>
      </c>
      <c r="F270" s="87" t="s">
        <v>135</v>
      </c>
      <c r="G270" s="87" t="s">
        <v>113</v>
      </c>
      <c r="H270" s="102">
        <v>44160</v>
      </c>
    </row>
    <row r="271" spans="1:9">
      <c r="A271" s="94" t="s">
        <v>115</v>
      </c>
      <c r="B271" s="94">
        <v>3277</v>
      </c>
      <c r="C271" s="94" t="s">
        <v>146</v>
      </c>
      <c r="D271" s="95">
        <v>44160</v>
      </c>
      <c r="E271" s="94">
        <v>2200</v>
      </c>
      <c r="F271" s="94" t="s">
        <v>135</v>
      </c>
      <c r="G271" s="94" t="s">
        <v>113</v>
      </c>
      <c r="H271" s="95">
        <v>44160</v>
      </c>
      <c r="I271" t="s">
        <v>189</v>
      </c>
    </row>
    <row r="272" spans="1:9">
      <c r="A272" s="87" t="s">
        <v>115</v>
      </c>
      <c r="B272" s="87">
        <v>3278</v>
      </c>
      <c r="C272" s="87" t="s">
        <v>127</v>
      </c>
      <c r="D272" s="102">
        <v>44160</v>
      </c>
      <c r="E272" s="87">
        <v>5400</v>
      </c>
      <c r="F272" s="87" t="s">
        <v>157</v>
      </c>
      <c r="G272" s="87" t="s">
        <v>113</v>
      </c>
      <c r="H272" s="102">
        <v>44160</v>
      </c>
    </row>
    <row r="273" spans="1:9">
      <c r="A273" s="108" t="s">
        <v>115</v>
      </c>
      <c r="B273" s="108">
        <v>3279</v>
      </c>
      <c r="C273" s="108" t="s">
        <v>190</v>
      </c>
      <c r="D273" s="109">
        <v>44104</v>
      </c>
      <c r="E273" s="108">
        <v>12000</v>
      </c>
      <c r="F273" s="108" t="s">
        <v>142</v>
      </c>
      <c r="G273" t="s">
        <v>97</v>
      </c>
      <c r="H273" s="109">
        <v>44104</v>
      </c>
    </row>
    <row r="274" spans="1:9">
      <c r="A274" s="87" t="s">
        <v>115</v>
      </c>
      <c r="B274" s="87">
        <v>3280</v>
      </c>
      <c r="C274" s="129" t="s">
        <v>153</v>
      </c>
      <c r="D274" s="102">
        <v>44184</v>
      </c>
      <c r="E274" s="87">
        <v>6000</v>
      </c>
      <c r="F274" s="87" t="s">
        <v>168</v>
      </c>
      <c r="G274" s="87" t="s">
        <v>191</v>
      </c>
      <c r="H274" s="102">
        <v>44184</v>
      </c>
    </row>
    <row r="275" spans="1:9">
      <c r="A275" s="135" t="s">
        <v>115</v>
      </c>
      <c r="B275" s="89">
        <v>3281</v>
      </c>
      <c r="C275" s="143" t="s">
        <v>154</v>
      </c>
      <c r="D275" s="90">
        <v>44184</v>
      </c>
      <c r="E275" s="89">
        <v>7200</v>
      </c>
      <c r="F275" s="135" t="s">
        <v>168</v>
      </c>
      <c r="G275" s="135" t="s">
        <v>191</v>
      </c>
      <c r="H275" s="90">
        <v>44184</v>
      </c>
      <c r="I275" t="s">
        <v>169</v>
      </c>
    </row>
    <row r="276" spans="1:9">
      <c r="A276" s="87" t="s">
        <v>115</v>
      </c>
      <c r="B276" s="87">
        <v>3282</v>
      </c>
      <c r="C276" s="87" t="s">
        <v>175</v>
      </c>
      <c r="D276" s="102">
        <v>44186</v>
      </c>
      <c r="E276" s="87">
        <v>2700</v>
      </c>
      <c r="F276" s="87" t="s">
        <v>8</v>
      </c>
      <c r="G276" s="87" t="s">
        <v>192</v>
      </c>
      <c r="H276" s="102">
        <v>44186</v>
      </c>
    </row>
    <row r="277" spans="1:9">
      <c r="A277" s="87" t="s">
        <v>115</v>
      </c>
      <c r="B277" s="87">
        <v>3283</v>
      </c>
      <c r="C277" s="87" t="s">
        <v>177</v>
      </c>
      <c r="D277" s="102">
        <v>44186</v>
      </c>
      <c r="E277" s="87">
        <v>2700</v>
      </c>
      <c r="F277" s="87" t="s">
        <v>8</v>
      </c>
      <c r="G277" s="87" t="s">
        <v>192</v>
      </c>
      <c r="H277" s="102">
        <v>44186</v>
      </c>
    </row>
    <row r="278" spans="1:9">
      <c r="A278" s="103" t="s">
        <v>115</v>
      </c>
      <c r="B278" s="103">
        <v>3284</v>
      </c>
      <c r="C278" s="103" t="s">
        <v>116</v>
      </c>
      <c r="D278" s="104">
        <v>44187</v>
      </c>
      <c r="E278" s="103">
        <v>2000</v>
      </c>
      <c r="F278" s="103" t="s">
        <v>162</v>
      </c>
      <c r="G278" s="104" t="s">
        <v>113</v>
      </c>
      <c r="H278" s="104">
        <v>44187</v>
      </c>
      <c r="I278" t="s">
        <v>180</v>
      </c>
    </row>
    <row r="279" spans="1:9">
      <c r="A279" s="87" t="s">
        <v>115</v>
      </c>
      <c r="B279" s="87">
        <v>3285</v>
      </c>
      <c r="C279" s="87" t="s">
        <v>118</v>
      </c>
      <c r="D279" s="102">
        <v>44187</v>
      </c>
      <c r="E279" s="87">
        <v>700</v>
      </c>
      <c r="F279" s="87" t="s">
        <v>162</v>
      </c>
      <c r="G279" s="102" t="s">
        <v>113</v>
      </c>
      <c r="H279" s="102">
        <v>44187</v>
      </c>
    </row>
    <row r="280" spans="1:9">
      <c r="A280" s="94" t="s">
        <v>115</v>
      </c>
      <c r="B280" s="94">
        <v>3286</v>
      </c>
      <c r="C280" s="94" t="s">
        <v>119</v>
      </c>
      <c r="D280" s="95">
        <v>44187</v>
      </c>
      <c r="E280" s="94">
        <v>1700</v>
      </c>
      <c r="F280" s="94" t="s">
        <v>162</v>
      </c>
      <c r="G280" s="95" t="s">
        <v>113</v>
      </c>
      <c r="H280" s="95">
        <v>44187</v>
      </c>
      <c r="I280" s="87" t="s">
        <v>181</v>
      </c>
    </row>
    <row r="281" spans="1:9">
      <c r="A281" s="87" t="s">
        <v>115</v>
      </c>
      <c r="B281" s="87">
        <v>3287</v>
      </c>
      <c r="C281" s="87" t="s">
        <v>121</v>
      </c>
      <c r="D281" s="102">
        <v>44187</v>
      </c>
      <c r="E281" s="87">
        <v>1450</v>
      </c>
      <c r="F281" s="87" t="s">
        <v>162</v>
      </c>
      <c r="G281" s="102" t="s">
        <v>113</v>
      </c>
      <c r="H281" s="102">
        <v>44187</v>
      </c>
    </row>
    <row r="282" spans="1:9">
      <c r="A282" s="94" t="s">
        <v>115</v>
      </c>
      <c r="B282" s="94">
        <v>3288</v>
      </c>
      <c r="C282" s="94" t="s">
        <v>173</v>
      </c>
      <c r="D282" s="95">
        <v>44187</v>
      </c>
      <c r="E282" s="94">
        <v>300</v>
      </c>
      <c r="F282" s="94" t="s">
        <v>162</v>
      </c>
      <c r="G282" s="95" t="s">
        <v>113</v>
      </c>
      <c r="H282" s="95">
        <v>44187</v>
      </c>
      <c r="I282" t="s">
        <v>193</v>
      </c>
    </row>
    <row r="283" spans="1:9">
      <c r="A283" s="94" t="s">
        <v>115</v>
      </c>
      <c r="B283" s="94">
        <v>3289</v>
      </c>
      <c r="C283" s="94" t="s">
        <v>122</v>
      </c>
      <c r="D283" s="95">
        <v>44187</v>
      </c>
      <c r="E283" s="94">
        <v>300</v>
      </c>
      <c r="F283" s="94" t="s">
        <v>162</v>
      </c>
      <c r="G283" s="95" t="s">
        <v>113</v>
      </c>
      <c r="H283" s="95">
        <v>44187</v>
      </c>
      <c r="I283" t="s">
        <v>180</v>
      </c>
    </row>
    <row r="284" spans="1:9">
      <c r="A284" s="87" t="s">
        <v>115</v>
      </c>
      <c r="B284" s="87">
        <v>3290</v>
      </c>
      <c r="C284" s="87" t="s">
        <v>124</v>
      </c>
      <c r="D284" s="102">
        <v>44187</v>
      </c>
      <c r="E284" s="87">
        <v>500</v>
      </c>
      <c r="F284" s="87" t="s">
        <v>162</v>
      </c>
      <c r="G284" s="102" t="s">
        <v>113</v>
      </c>
      <c r="H284" s="102">
        <v>44187</v>
      </c>
    </row>
    <row r="285" spans="1:9">
      <c r="A285" s="87" t="s">
        <v>115</v>
      </c>
      <c r="B285" s="87">
        <v>3291</v>
      </c>
      <c r="C285" s="87" t="s">
        <v>125</v>
      </c>
      <c r="D285" s="102">
        <v>44187</v>
      </c>
      <c r="E285" s="87">
        <v>400</v>
      </c>
      <c r="F285" s="87" t="s">
        <v>162</v>
      </c>
      <c r="G285" s="102" t="s">
        <v>113</v>
      </c>
      <c r="H285" s="102">
        <v>44187</v>
      </c>
    </row>
    <row r="286" spans="1:9">
      <c r="A286" s="139" t="s">
        <v>115</v>
      </c>
      <c r="B286" s="139">
        <v>3292</v>
      </c>
      <c r="C286" s="139" t="s">
        <v>126</v>
      </c>
      <c r="D286" s="140">
        <v>44187</v>
      </c>
      <c r="E286" s="139">
        <v>2100</v>
      </c>
      <c r="F286" s="139" t="s">
        <v>162</v>
      </c>
      <c r="G286" s="140" t="s">
        <v>113</v>
      </c>
      <c r="H286" s="142">
        <v>44187</v>
      </c>
      <c r="I286" s="87"/>
    </row>
    <row r="287" spans="1:9">
      <c r="A287" s="87" t="s">
        <v>115</v>
      </c>
      <c r="B287" s="87">
        <v>3293</v>
      </c>
      <c r="C287" s="87" t="s">
        <v>123</v>
      </c>
      <c r="D287" s="102">
        <v>44187</v>
      </c>
      <c r="E287" s="87">
        <v>9504</v>
      </c>
      <c r="F287" s="87" t="s">
        <v>162</v>
      </c>
      <c r="G287" s="102" t="s">
        <v>113</v>
      </c>
      <c r="H287" s="102">
        <v>44187</v>
      </c>
    </row>
    <row r="288" spans="1:9">
      <c r="A288" s="87" t="s">
        <v>73</v>
      </c>
      <c r="B288" s="87">
        <v>1569</v>
      </c>
      <c r="C288" s="87" t="s">
        <v>101</v>
      </c>
      <c r="D288" s="102">
        <v>44187</v>
      </c>
      <c r="E288" s="87">
        <v>4500</v>
      </c>
      <c r="F288" s="87" t="s">
        <v>8</v>
      </c>
      <c r="G288" s="87" t="s">
        <v>192</v>
      </c>
      <c r="H288" s="102">
        <v>44187</v>
      </c>
    </row>
    <row r="289" spans="1:9">
      <c r="A289" s="87" t="s">
        <v>73</v>
      </c>
      <c r="B289" s="87">
        <v>1570</v>
      </c>
      <c r="C289" s="87" t="s">
        <v>86</v>
      </c>
      <c r="D289" s="102">
        <v>44187</v>
      </c>
      <c r="E289" s="87">
        <v>4800</v>
      </c>
      <c r="F289" s="87" t="s">
        <v>8</v>
      </c>
      <c r="G289" s="87" t="s">
        <v>192</v>
      </c>
      <c r="H289" s="102">
        <v>44187</v>
      </c>
    </row>
    <row r="290" spans="1:9">
      <c r="A290" s="108" t="s">
        <v>73</v>
      </c>
      <c r="B290" s="108">
        <v>1571</v>
      </c>
      <c r="C290" s="144" t="s">
        <v>88</v>
      </c>
      <c r="D290" s="109">
        <v>44196</v>
      </c>
      <c r="E290" s="108">
        <f>3500*3</f>
        <v>10500</v>
      </c>
      <c r="F290" s="108" t="s">
        <v>25</v>
      </c>
      <c r="G290" s="108" t="s">
        <v>192</v>
      </c>
      <c r="H290" s="109">
        <v>44196</v>
      </c>
      <c r="I290" t="s">
        <v>194</v>
      </c>
    </row>
    <row r="291" spans="1:9">
      <c r="A291" s="94" t="s">
        <v>73</v>
      </c>
      <c r="B291" s="94">
        <v>1572</v>
      </c>
      <c r="C291" s="94" t="s">
        <v>77</v>
      </c>
      <c r="D291" s="95">
        <v>44187</v>
      </c>
      <c r="E291" s="94">
        <v>2500</v>
      </c>
      <c r="F291" s="94" t="s">
        <v>91</v>
      </c>
      <c r="G291" s="94" t="s">
        <v>192</v>
      </c>
      <c r="H291" s="95">
        <v>44187</v>
      </c>
    </row>
    <row r="292" spans="1:9">
      <c r="A292" s="96" t="s">
        <v>115</v>
      </c>
      <c r="B292" s="96">
        <v>3294</v>
      </c>
      <c r="C292" s="87" t="s">
        <v>155</v>
      </c>
      <c r="D292" s="97">
        <v>44187</v>
      </c>
      <c r="E292" s="96">
        <v>9000</v>
      </c>
      <c r="F292" s="96" t="s">
        <v>89</v>
      </c>
      <c r="G292" s="96" t="s">
        <v>192</v>
      </c>
      <c r="H292" s="97">
        <v>44187</v>
      </c>
    </row>
    <row r="293" spans="1:9">
      <c r="A293" s="87" t="s">
        <v>115</v>
      </c>
      <c r="B293" s="87">
        <v>3295</v>
      </c>
      <c r="C293" s="87" t="s">
        <v>140</v>
      </c>
      <c r="D293" s="102">
        <v>44196</v>
      </c>
      <c r="E293" s="87">
        <f>(1600*3)+(4000*3)+(3500*3)+2200+1000</f>
        <v>30500</v>
      </c>
      <c r="F293" s="87" t="s">
        <v>157</v>
      </c>
      <c r="G293" s="87" t="s">
        <v>192</v>
      </c>
      <c r="H293" s="102">
        <v>44196</v>
      </c>
      <c r="I293" t="s">
        <v>195</v>
      </c>
    </row>
    <row r="294" spans="1:9">
      <c r="A294" s="87" t="s">
        <v>115</v>
      </c>
      <c r="B294" s="87">
        <v>3296</v>
      </c>
      <c r="C294" s="87" t="s">
        <v>196</v>
      </c>
      <c r="D294" s="102">
        <v>44190</v>
      </c>
      <c r="E294" s="87">
        <f>1600*3</f>
        <v>4800</v>
      </c>
      <c r="F294" s="87" t="s">
        <v>8</v>
      </c>
      <c r="G294" s="87" t="s">
        <v>197</v>
      </c>
      <c r="H294" s="87"/>
    </row>
    <row r="295" spans="1:9">
      <c r="A295" s="87" t="s">
        <v>115</v>
      </c>
      <c r="B295" s="87">
        <v>3297</v>
      </c>
      <c r="C295" s="87" t="s">
        <v>196</v>
      </c>
      <c r="D295" s="102">
        <v>44190</v>
      </c>
      <c r="E295" s="87">
        <f>1600*6</f>
        <v>9600</v>
      </c>
      <c r="F295" s="87" t="s">
        <v>8</v>
      </c>
      <c r="G295" s="87" t="s">
        <v>198</v>
      </c>
      <c r="H295" s="87"/>
    </row>
    <row r="296" spans="1:9">
      <c r="A296" s="126" t="s">
        <v>115</v>
      </c>
      <c r="B296" s="126">
        <v>3298</v>
      </c>
      <c r="C296" s="126" t="s">
        <v>170</v>
      </c>
      <c r="D296" s="113">
        <v>44190</v>
      </c>
      <c r="E296" s="126">
        <v>2900</v>
      </c>
      <c r="F296" s="126" t="s">
        <v>161</v>
      </c>
      <c r="G296" s="126" t="s">
        <v>199</v>
      </c>
      <c r="H296" s="113">
        <v>44190</v>
      </c>
      <c r="I296" t="s">
        <v>186</v>
      </c>
    </row>
    <row r="297" spans="1:9">
      <c r="A297" s="87" t="s">
        <v>73</v>
      </c>
      <c r="B297" s="87">
        <v>1573</v>
      </c>
      <c r="C297" s="87" t="s">
        <v>82</v>
      </c>
      <c r="D297" s="102">
        <v>44190</v>
      </c>
      <c r="E297" s="87">
        <v>4600</v>
      </c>
      <c r="F297" s="87" t="s">
        <v>89</v>
      </c>
      <c r="G297" s="87" t="s">
        <v>199</v>
      </c>
      <c r="H297" s="102">
        <v>44190</v>
      </c>
    </row>
    <row r="298" spans="1:9">
      <c r="A298" s="87" t="s">
        <v>115</v>
      </c>
      <c r="B298" s="87">
        <v>3299</v>
      </c>
      <c r="C298" s="87" t="s">
        <v>145</v>
      </c>
      <c r="D298" s="102">
        <v>44190</v>
      </c>
      <c r="E298" s="87">
        <v>500</v>
      </c>
      <c r="F298" s="87" t="s">
        <v>162</v>
      </c>
      <c r="G298" s="87" t="s">
        <v>199</v>
      </c>
      <c r="H298" s="102">
        <v>44190</v>
      </c>
    </row>
    <row r="299" spans="1:9">
      <c r="A299" s="96" t="s">
        <v>115</v>
      </c>
      <c r="B299" s="96">
        <v>3300</v>
      </c>
      <c r="C299" s="96" t="s">
        <v>144</v>
      </c>
      <c r="D299" s="97">
        <v>44190</v>
      </c>
      <c r="E299" s="96">
        <v>16500</v>
      </c>
      <c r="F299" s="96" t="s">
        <v>162</v>
      </c>
      <c r="G299" s="96" t="s">
        <v>199</v>
      </c>
      <c r="H299" s="97">
        <v>44190</v>
      </c>
    </row>
    <row r="300" spans="1:9">
      <c r="A300" s="87" t="s">
        <v>115</v>
      </c>
      <c r="B300" s="87">
        <v>3301</v>
      </c>
      <c r="C300" s="87" t="s">
        <v>131</v>
      </c>
      <c r="D300" s="102">
        <v>44193</v>
      </c>
      <c r="E300" s="87">
        <v>1100</v>
      </c>
      <c r="F300" s="87" t="s">
        <v>142</v>
      </c>
      <c r="G300" s="87" t="s">
        <v>199</v>
      </c>
      <c r="H300" s="102">
        <v>44193</v>
      </c>
    </row>
    <row r="301" spans="1:9">
      <c r="A301" s="87" t="s">
        <v>115</v>
      </c>
      <c r="B301" s="87">
        <v>3302</v>
      </c>
      <c r="C301" s="87" t="s">
        <v>128</v>
      </c>
      <c r="D301" s="102">
        <v>44193</v>
      </c>
      <c r="E301" s="87">
        <v>9200</v>
      </c>
      <c r="F301" s="87" t="s">
        <v>142</v>
      </c>
      <c r="G301" s="87" t="s">
        <v>199</v>
      </c>
      <c r="H301" s="102">
        <v>44193</v>
      </c>
    </row>
    <row r="302" spans="1:9">
      <c r="A302" s="87" t="s">
        <v>115</v>
      </c>
      <c r="B302" s="87">
        <v>3303</v>
      </c>
      <c r="C302" s="87" t="s">
        <v>130</v>
      </c>
      <c r="D302" s="102">
        <v>44193</v>
      </c>
      <c r="E302" s="87">
        <v>1500</v>
      </c>
      <c r="F302" s="87" t="s">
        <v>142</v>
      </c>
      <c r="G302" s="87" t="s">
        <v>199</v>
      </c>
      <c r="H302" s="102">
        <v>44193</v>
      </c>
    </row>
    <row r="303" spans="1:9">
      <c r="A303" s="87" t="s">
        <v>115</v>
      </c>
      <c r="B303" s="87">
        <v>3304</v>
      </c>
      <c r="C303" s="87" t="s">
        <v>129</v>
      </c>
      <c r="D303" s="102">
        <v>44193</v>
      </c>
      <c r="E303" s="87">
        <v>500</v>
      </c>
      <c r="F303" s="87" t="s">
        <v>142</v>
      </c>
      <c r="G303" s="87" t="s">
        <v>199</v>
      </c>
      <c r="H303" s="102">
        <v>44193</v>
      </c>
    </row>
    <row r="304" spans="1:9">
      <c r="A304" s="94" t="s">
        <v>115</v>
      </c>
      <c r="B304" s="94">
        <v>3305</v>
      </c>
      <c r="C304" s="94" t="s">
        <v>134</v>
      </c>
      <c r="D304" s="95">
        <v>44193</v>
      </c>
      <c r="E304" s="94">
        <v>3100</v>
      </c>
      <c r="F304" s="94" t="s">
        <v>135</v>
      </c>
      <c r="G304" s="94" t="s">
        <v>199</v>
      </c>
      <c r="H304" s="95">
        <v>44193</v>
      </c>
    </row>
    <row r="305" spans="1:9">
      <c r="A305" s="87" t="s">
        <v>73</v>
      </c>
      <c r="B305" s="87">
        <v>1574</v>
      </c>
      <c r="C305" s="87" t="s">
        <v>109</v>
      </c>
      <c r="D305" s="102">
        <v>44193</v>
      </c>
      <c r="E305" s="87">
        <v>2500</v>
      </c>
      <c r="F305" s="87" t="s">
        <v>91</v>
      </c>
      <c r="G305" s="87" t="s">
        <v>199</v>
      </c>
      <c r="H305" s="102">
        <v>44193</v>
      </c>
    </row>
    <row r="306" spans="1:9">
      <c r="A306" s="103" t="s">
        <v>115</v>
      </c>
      <c r="B306" s="103">
        <v>3306</v>
      </c>
      <c r="C306" s="103" t="s">
        <v>147</v>
      </c>
      <c r="D306" s="104">
        <v>44193</v>
      </c>
      <c r="E306" s="103">
        <v>5200</v>
      </c>
      <c r="F306" s="103" t="s">
        <v>89</v>
      </c>
      <c r="G306" s="103" t="s">
        <v>199</v>
      </c>
      <c r="H306" s="104">
        <v>44193</v>
      </c>
    </row>
    <row r="307" spans="1:9">
      <c r="A307" s="108" t="s">
        <v>115</v>
      </c>
      <c r="B307" s="108">
        <v>3307</v>
      </c>
      <c r="C307" s="145" t="s">
        <v>152</v>
      </c>
      <c r="D307" s="109">
        <v>44193</v>
      </c>
      <c r="E307" s="108">
        <v>3500</v>
      </c>
      <c r="F307" s="108" t="s">
        <v>164</v>
      </c>
      <c r="G307" s="108" t="s">
        <v>199</v>
      </c>
      <c r="H307" s="109">
        <v>44193</v>
      </c>
    </row>
    <row r="308" spans="1:9">
      <c r="A308" s="108" t="s">
        <v>73</v>
      </c>
      <c r="B308" s="108">
        <v>1575</v>
      </c>
      <c r="C308" s="108" t="s">
        <v>87</v>
      </c>
      <c r="D308" s="109">
        <v>44193</v>
      </c>
      <c r="E308" s="108">
        <v>1100</v>
      </c>
      <c r="F308" s="108" t="s">
        <v>91</v>
      </c>
      <c r="G308" s="108" t="s">
        <v>199</v>
      </c>
      <c r="H308" s="109">
        <v>44193</v>
      </c>
    </row>
    <row r="309" spans="1:9">
      <c r="A309" s="94" t="s">
        <v>115</v>
      </c>
      <c r="B309" s="94">
        <v>3308</v>
      </c>
      <c r="C309" s="94" t="s">
        <v>132</v>
      </c>
      <c r="D309" s="95">
        <v>44193</v>
      </c>
      <c r="E309" s="94">
        <v>3700</v>
      </c>
      <c r="F309" s="94" t="s">
        <v>135</v>
      </c>
      <c r="G309" s="94" t="s">
        <v>199</v>
      </c>
      <c r="H309" s="95">
        <v>44193</v>
      </c>
      <c r="I309" t="s">
        <v>200</v>
      </c>
    </row>
    <row r="310" spans="1:9">
      <c r="A310" s="87" t="s">
        <v>115</v>
      </c>
      <c r="B310" s="87">
        <v>3309</v>
      </c>
      <c r="C310" s="87" t="s">
        <v>141</v>
      </c>
      <c r="D310" s="102">
        <v>44193</v>
      </c>
      <c r="E310" s="87">
        <v>1800</v>
      </c>
      <c r="F310" s="87" t="s">
        <v>142</v>
      </c>
      <c r="G310" s="87" t="s">
        <v>199</v>
      </c>
      <c r="H310" s="102">
        <v>44193</v>
      </c>
    </row>
    <row r="311" spans="1:9">
      <c r="A311" s="87" t="s">
        <v>73</v>
      </c>
      <c r="B311" s="87">
        <v>1576</v>
      </c>
      <c r="C311" s="87" t="s">
        <v>81</v>
      </c>
      <c r="D311" s="102">
        <v>44193</v>
      </c>
      <c r="E311" s="87">
        <v>1800</v>
      </c>
      <c r="F311" s="87" t="s">
        <v>92</v>
      </c>
      <c r="G311" s="87" t="s">
        <v>199</v>
      </c>
      <c r="H311" s="102">
        <v>44193</v>
      </c>
    </row>
    <row r="312" spans="1:9">
      <c r="A312" s="87" t="s">
        <v>115</v>
      </c>
      <c r="B312" s="87">
        <v>3310</v>
      </c>
      <c r="C312" s="87" t="s">
        <v>137</v>
      </c>
      <c r="D312" s="102">
        <v>44193</v>
      </c>
      <c r="E312" s="87">
        <v>3900</v>
      </c>
      <c r="F312" s="87" t="s">
        <v>135</v>
      </c>
      <c r="G312" s="87" t="s">
        <v>199</v>
      </c>
      <c r="H312" s="102">
        <v>44193</v>
      </c>
    </row>
    <row r="313" spans="1:9">
      <c r="A313" s="87" t="s">
        <v>115</v>
      </c>
      <c r="B313" s="87">
        <v>3311</v>
      </c>
      <c r="C313" s="87" t="s">
        <v>149</v>
      </c>
      <c r="D313" s="102">
        <v>44193</v>
      </c>
      <c r="E313" s="87">
        <f>2600+600</f>
        <v>3200</v>
      </c>
      <c r="F313" s="87" t="s">
        <v>165</v>
      </c>
      <c r="G313" s="87" t="s">
        <v>199</v>
      </c>
      <c r="H313" s="102">
        <v>44193</v>
      </c>
      <c r="I313" t="s">
        <v>201</v>
      </c>
    </row>
    <row r="314" spans="1:9">
      <c r="A314" s="87" t="s">
        <v>73</v>
      </c>
      <c r="B314" s="87">
        <v>1577</v>
      </c>
      <c r="C314" s="87" t="s">
        <v>99</v>
      </c>
      <c r="D314" s="102">
        <v>44193</v>
      </c>
      <c r="E314" s="87">
        <v>3400</v>
      </c>
      <c r="F314" s="87" t="s">
        <v>112</v>
      </c>
      <c r="G314" s="87" t="s">
        <v>199</v>
      </c>
      <c r="H314" s="102">
        <v>44193</v>
      </c>
    </row>
    <row r="315" spans="1:9">
      <c r="A315" s="87" t="s">
        <v>73</v>
      </c>
      <c r="B315" s="87">
        <v>1578</v>
      </c>
      <c r="C315" s="87" t="s">
        <v>96</v>
      </c>
      <c r="D315" s="102">
        <v>44193</v>
      </c>
      <c r="E315" s="87">
        <v>3400</v>
      </c>
      <c r="F315" s="87" t="s">
        <v>112</v>
      </c>
      <c r="G315" s="87" t="s">
        <v>199</v>
      </c>
      <c r="H315" s="102">
        <v>44193</v>
      </c>
    </row>
    <row r="316" spans="1:9">
      <c r="A316" s="99" t="s">
        <v>73</v>
      </c>
      <c r="B316" s="99">
        <v>1579</v>
      </c>
      <c r="C316" s="99" t="s">
        <v>80</v>
      </c>
      <c r="D316" s="100">
        <v>44193</v>
      </c>
      <c r="E316" s="99">
        <v>1500</v>
      </c>
      <c r="F316" s="99" t="s">
        <v>3</v>
      </c>
      <c r="G316" s="99" t="s">
        <v>199</v>
      </c>
      <c r="H316" s="100">
        <v>44193</v>
      </c>
    </row>
    <row r="317" spans="1:9">
      <c r="A317" s="87" t="s">
        <v>73</v>
      </c>
      <c r="B317" s="87">
        <v>1580</v>
      </c>
      <c r="C317" s="87" t="s">
        <v>79</v>
      </c>
      <c r="D317" s="102">
        <v>44193</v>
      </c>
      <c r="E317" s="87">
        <v>1500</v>
      </c>
      <c r="F317" s="87" t="s">
        <v>112</v>
      </c>
      <c r="G317" s="87" t="s">
        <v>199</v>
      </c>
      <c r="H317" s="102">
        <v>44193</v>
      </c>
    </row>
    <row r="318" spans="1:9">
      <c r="A318" s="96" t="s">
        <v>115</v>
      </c>
      <c r="B318" s="96">
        <v>3312</v>
      </c>
      <c r="C318" s="96" t="s">
        <v>148</v>
      </c>
      <c r="D318" s="97">
        <v>44193</v>
      </c>
      <c r="E318" s="96">
        <v>4000</v>
      </c>
      <c r="F318" s="96" t="s">
        <v>166</v>
      </c>
      <c r="G318" s="96" t="s">
        <v>199</v>
      </c>
      <c r="H318" s="97">
        <v>44193</v>
      </c>
    </row>
    <row r="319" spans="1:9">
      <c r="A319" s="87" t="s">
        <v>115</v>
      </c>
      <c r="B319" s="87">
        <v>3313</v>
      </c>
      <c r="C319" s="87" t="s">
        <v>138</v>
      </c>
      <c r="D319" s="102">
        <v>44193</v>
      </c>
      <c r="E319" s="87">
        <f>2700+1000+1000</f>
        <v>4700</v>
      </c>
      <c r="F319" s="87" t="s">
        <v>135</v>
      </c>
      <c r="G319" s="87" t="s">
        <v>199</v>
      </c>
      <c r="H319" s="102">
        <v>44194</v>
      </c>
      <c r="I319" t="s">
        <v>202</v>
      </c>
    </row>
    <row r="320" spans="1:9">
      <c r="A320" s="96" t="s">
        <v>73</v>
      </c>
      <c r="B320" s="96">
        <v>1581</v>
      </c>
      <c r="C320" s="96" t="s">
        <v>106</v>
      </c>
      <c r="D320" s="97">
        <v>44194</v>
      </c>
      <c r="E320" s="96">
        <v>2500</v>
      </c>
      <c r="F320" s="96" t="s">
        <v>107</v>
      </c>
      <c r="G320" s="96" t="s">
        <v>199</v>
      </c>
      <c r="H320" s="97">
        <v>44194</v>
      </c>
    </row>
    <row r="321" spans="1:10">
      <c r="A321" s="94" t="s">
        <v>115</v>
      </c>
      <c r="B321" s="94">
        <v>3314</v>
      </c>
      <c r="C321" s="94" t="s">
        <v>146</v>
      </c>
      <c r="D321" s="95">
        <v>44194</v>
      </c>
      <c r="E321" s="94">
        <v>2200</v>
      </c>
      <c r="F321" s="94" t="s">
        <v>135</v>
      </c>
      <c r="G321" s="94" t="s">
        <v>199</v>
      </c>
      <c r="H321" s="95">
        <v>44194</v>
      </c>
      <c r="I321" t="s">
        <v>203</v>
      </c>
    </row>
    <row r="322" spans="1:10">
      <c r="A322" s="103" t="s">
        <v>73</v>
      </c>
      <c r="B322" s="94">
        <v>1582</v>
      </c>
      <c r="C322" s="103" t="s">
        <v>76</v>
      </c>
      <c r="D322" s="95">
        <v>44194</v>
      </c>
      <c r="E322" s="103">
        <v>3000</v>
      </c>
      <c r="F322" s="103" t="s">
        <v>93</v>
      </c>
      <c r="G322" s="94" t="s">
        <v>199</v>
      </c>
      <c r="H322" s="95">
        <v>44194</v>
      </c>
      <c r="I322" t="s">
        <v>204</v>
      </c>
      <c r="J322" t="s">
        <v>205</v>
      </c>
    </row>
    <row r="323" spans="1:10">
      <c r="A323" s="96" t="s">
        <v>73</v>
      </c>
      <c r="B323" s="87">
        <v>1583</v>
      </c>
      <c r="C323" s="87" t="s">
        <v>74</v>
      </c>
      <c r="D323" s="102">
        <v>44194</v>
      </c>
      <c r="E323" s="87">
        <v>3100</v>
      </c>
      <c r="F323" s="87" t="s">
        <v>93</v>
      </c>
      <c r="G323" s="87" t="s">
        <v>199</v>
      </c>
      <c r="H323" s="102">
        <v>44194</v>
      </c>
      <c r="I323" t="s">
        <v>206</v>
      </c>
    </row>
    <row r="324" spans="1:10">
      <c r="A324" s="99" t="s">
        <v>73</v>
      </c>
      <c r="B324" s="108">
        <v>1584</v>
      </c>
      <c r="C324" s="108" t="s">
        <v>207</v>
      </c>
      <c r="D324" s="109">
        <v>44194</v>
      </c>
      <c r="E324" s="108">
        <v>3000</v>
      </c>
      <c r="F324" s="108" t="s">
        <v>93</v>
      </c>
      <c r="G324" s="108" t="s">
        <v>199</v>
      </c>
      <c r="H324" s="109">
        <v>44194</v>
      </c>
    </row>
    <row r="325" spans="1:10">
      <c r="A325" s="87" t="s">
        <v>73</v>
      </c>
      <c r="B325" s="87">
        <v>1585</v>
      </c>
      <c r="C325" s="87" t="s">
        <v>110</v>
      </c>
      <c r="D325" s="102">
        <v>44194</v>
      </c>
      <c r="E325" s="87">
        <v>2500</v>
      </c>
      <c r="F325" s="87" t="s">
        <v>107</v>
      </c>
      <c r="G325" s="87" t="s">
        <v>199</v>
      </c>
      <c r="H325" s="102">
        <v>44194</v>
      </c>
    </row>
    <row r="326" spans="1:10">
      <c r="A326" s="87" t="s">
        <v>115</v>
      </c>
      <c r="B326" s="87">
        <v>3315</v>
      </c>
      <c r="C326" s="87" t="s">
        <v>127</v>
      </c>
      <c r="D326" s="102">
        <v>44194</v>
      </c>
      <c r="E326" s="87">
        <v>5400</v>
      </c>
      <c r="F326" s="87" t="s">
        <v>157</v>
      </c>
      <c r="G326" s="87" t="s">
        <v>199</v>
      </c>
      <c r="H326" s="102">
        <v>44194</v>
      </c>
    </row>
    <row r="327" spans="1:10">
      <c r="A327" s="94" t="s">
        <v>115</v>
      </c>
      <c r="B327" s="94">
        <v>3316</v>
      </c>
      <c r="C327" s="94" t="s">
        <v>116</v>
      </c>
      <c r="D327" s="95">
        <v>44223</v>
      </c>
      <c r="E327" s="94">
        <v>1800</v>
      </c>
      <c r="F327" s="94" t="s">
        <v>162</v>
      </c>
      <c r="G327" s="94" t="s">
        <v>199</v>
      </c>
      <c r="H327" s="95">
        <v>43857</v>
      </c>
      <c r="I327" t="s">
        <v>208</v>
      </c>
    </row>
    <row r="328" spans="1:10">
      <c r="A328" s="87" t="s">
        <v>115</v>
      </c>
      <c r="B328" s="87">
        <v>3317</v>
      </c>
      <c r="C328" s="87" t="s">
        <v>118</v>
      </c>
      <c r="D328" s="102">
        <v>44223</v>
      </c>
      <c r="E328" s="87">
        <v>700</v>
      </c>
      <c r="F328" s="87" t="s">
        <v>162</v>
      </c>
      <c r="G328" s="87" t="s">
        <v>199</v>
      </c>
      <c r="H328" s="102">
        <v>43857</v>
      </c>
    </row>
    <row r="329" spans="1:10">
      <c r="A329" s="94" t="s">
        <v>115</v>
      </c>
      <c r="B329" s="94">
        <v>3318</v>
      </c>
      <c r="C329" s="94" t="s">
        <v>119</v>
      </c>
      <c r="D329" s="95">
        <v>44223</v>
      </c>
      <c r="E329" s="94">
        <v>1750</v>
      </c>
      <c r="F329" s="94" t="s">
        <v>162</v>
      </c>
      <c r="G329" s="94" t="s">
        <v>199</v>
      </c>
      <c r="H329" s="95">
        <v>43857</v>
      </c>
      <c r="I329" s="87" t="s">
        <v>167</v>
      </c>
    </row>
    <row r="330" spans="1:10">
      <c r="A330" s="87" t="s">
        <v>115</v>
      </c>
      <c r="B330" s="87">
        <v>3319</v>
      </c>
      <c r="C330" s="87" t="s">
        <v>121</v>
      </c>
      <c r="D330" s="102">
        <v>44223</v>
      </c>
      <c r="E330" s="87">
        <v>1500</v>
      </c>
      <c r="F330" s="87" t="s">
        <v>162</v>
      </c>
      <c r="G330" s="87" t="s">
        <v>199</v>
      </c>
      <c r="H330" s="102">
        <v>43857</v>
      </c>
    </row>
    <row r="331" spans="1:10">
      <c r="A331" s="94" t="s">
        <v>115</v>
      </c>
      <c r="B331" s="94">
        <v>3320</v>
      </c>
      <c r="C331" s="94" t="s">
        <v>173</v>
      </c>
      <c r="D331" s="95">
        <v>44223</v>
      </c>
      <c r="E331" s="94">
        <v>400</v>
      </c>
      <c r="F331" s="94" t="s">
        <v>162</v>
      </c>
      <c r="G331" s="94" t="s">
        <v>199</v>
      </c>
      <c r="H331" s="95">
        <v>43857</v>
      </c>
      <c r="I331" t="s">
        <v>182</v>
      </c>
    </row>
    <row r="332" spans="1:10">
      <c r="A332" s="94" t="s">
        <v>115</v>
      </c>
      <c r="B332" s="94">
        <v>3321</v>
      </c>
      <c r="C332" s="94" t="s">
        <v>122</v>
      </c>
      <c r="D332" s="95">
        <v>44223</v>
      </c>
      <c r="E332" s="94">
        <v>300</v>
      </c>
      <c r="F332" s="94" t="s">
        <v>162</v>
      </c>
      <c r="G332" s="94" t="s">
        <v>199</v>
      </c>
      <c r="H332" s="95">
        <v>43857</v>
      </c>
      <c r="I332" t="s">
        <v>180</v>
      </c>
    </row>
    <row r="333" spans="1:10">
      <c r="A333" s="87" t="s">
        <v>115</v>
      </c>
      <c r="B333" s="87">
        <v>3322</v>
      </c>
      <c r="C333" s="87" t="s">
        <v>124</v>
      </c>
      <c r="D333" s="102">
        <v>44223</v>
      </c>
      <c r="E333" s="87">
        <v>500</v>
      </c>
      <c r="F333" s="87" t="s">
        <v>162</v>
      </c>
      <c r="G333" s="87" t="s">
        <v>199</v>
      </c>
      <c r="H333" s="102">
        <v>43857</v>
      </c>
    </row>
    <row r="334" spans="1:10">
      <c r="A334" s="87" t="s">
        <v>115</v>
      </c>
      <c r="B334" s="87">
        <v>3323</v>
      </c>
      <c r="C334" s="87" t="s">
        <v>125</v>
      </c>
      <c r="D334" s="102">
        <v>44223</v>
      </c>
      <c r="E334" s="87">
        <v>400</v>
      </c>
      <c r="F334" s="87" t="s">
        <v>162</v>
      </c>
      <c r="G334" s="87" t="s">
        <v>199</v>
      </c>
      <c r="H334" s="102">
        <v>43857</v>
      </c>
    </row>
    <row r="335" spans="1:10">
      <c r="A335" s="139" t="s">
        <v>115</v>
      </c>
      <c r="B335" s="139">
        <v>3324</v>
      </c>
      <c r="C335" s="139" t="s">
        <v>126</v>
      </c>
      <c r="D335" s="140">
        <v>44223</v>
      </c>
      <c r="E335" s="139">
        <v>2000</v>
      </c>
      <c r="F335" s="139" t="s">
        <v>162</v>
      </c>
      <c r="G335" s="139" t="s">
        <v>199</v>
      </c>
      <c r="H335" s="142">
        <v>43857</v>
      </c>
      <c r="I335" s="87"/>
    </row>
    <row r="336" spans="1:10">
      <c r="A336" s="87" t="s">
        <v>115</v>
      </c>
      <c r="B336" s="87">
        <v>3325</v>
      </c>
      <c r="C336" s="87" t="s">
        <v>123</v>
      </c>
      <c r="D336" s="102">
        <v>44223</v>
      </c>
      <c r="E336" s="87">
        <v>9288</v>
      </c>
      <c r="F336" s="87" t="s">
        <v>162</v>
      </c>
      <c r="G336" s="87" t="s">
        <v>199</v>
      </c>
      <c r="H336" s="102">
        <v>43857</v>
      </c>
    </row>
    <row r="337" spans="1:10">
      <c r="A337" s="94" t="s">
        <v>115</v>
      </c>
      <c r="B337" s="94">
        <v>3326</v>
      </c>
      <c r="C337" s="94" t="s">
        <v>170</v>
      </c>
      <c r="D337" s="95">
        <v>43857</v>
      </c>
      <c r="E337" s="94">
        <f>2900+300+900</f>
        <v>4100</v>
      </c>
      <c r="F337" s="94" t="s">
        <v>161</v>
      </c>
      <c r="G337" s="94" t="s">
        <v>209</v>
      </c>
      <c r="H337" s="95">
        <v>44223</v>
      </c>
      <c r="I337" t="s">
        <v>210</v>
      </c>
      <c r="J337" t="s">
        <v>211</v>
      </c>
    </row>
    <row r="338" spans="1:10">
      <c r="A338" s="108" t="s">
        <v>73</v>
      </c>
      <c r="B338" s="108">
        <v>1586</v>
      </c>
      <c r="C338" s="144" t="s">
        <v>88</v>
      </c>
      <c r="D338" s="92">
        <v>44223</v>
      </c>
      <c r="E338">
        <v>1000</v>
      </c>
      <c r="F338" s="108" t="s">
        <v>25</v>
      </c>
      <c r="G338" s="108" t="s">
        <v>199</v>
      </c>
      <c r="H338" s="92">
        <v>44223</v>
      </c>
      <c r="I338" t="s">
        <v>212</v>
      </c>
    </row>
    <row r="339" spans="1:10">
      <c r="A339" s="87" t="s">
        <v>73</v>
      </c>
      <c r="B339" s="87">
        <v>1587</v>
      </c>
      <c r="C339" s="87" t="s">
        <v>82</v>
      </c>
      <c r="D339" s="102">
        <v>43857</v>
      </c>
      <c r="E339" s="87">
        <v>4600</v>
      </c>
      <c r="F339" s="87" t="s">
        <v>89</v>
      </c>
      <c r="G339" s="87" t="s">
        <v>209</v>
      </c>
      <c r="H339" s="102">
        <v>44223</v>
      </c>
    </row>
    <row r="340" spans="1:10">
      <c r="A340" s="87" t="s">
        <v>115</v>
      </c>
      <c r="B340" s="87">
        <v>3327</v>
      </c>
      <c r="C340" s="87" t="s">
        <v>145</v>
      </c>
      <c r="D340" s="102">
        <v>44223</v>
      </c>
      <c r="E340" s="87">
        <v>500</v>
      </c>
      <c r="F340" s="87" t="s">
        <v>162</v>
      </c>
      <c r="G340" s="87" t="s">
        <v>209</v>
      </c>
      <c r="H340" s="102">
        <v>44223</v>
      </c>
    </row>
    <row r="341" spans="1:10">
      <c r="A341" s="87" t="s">
        <v>115</v>
      </c>
      <c r="B341" s="87">
        <v>3328</v>
      </c>
      <c r="C341" s="87" t="s">
        <v>131</v>
      </c>
      <c r="D341" s="102">
        <v>43857</v>
      </c>
      <c r="E341" s="87">
        <v>1100</v>
      </c>
      <c r="F341" s="87" t="s">
        <v>142</v>
      </c>
      <c r="G341" s="87" t="s">
        <v>209</v>
      </c>
      <c r="H341" s="102">
        <v>44223</v>
      </c>
    </row>
    <row r="342" spans="1:10">
      <c r="A342" s="87" t="s">
        <v>115</v>
      </c>
      <c r="B342" s="87">
        <v>3329</v>
      </c>
      <c r="C342" s="87" t="s">
        <v>128</v>
      </c>
      <c r="D342" s="102">
        <v>43857</v>
      </c>
      <c r="E342" s="87">
        <v>9200</v>
      </c>
      <c r="F342" s="87" t="s">
        <v>142</v>
      </c>
      <c r="G342" s="87" t="s">
        <v>209</v>
      </c>
      <c r="H342" s="102">
        <v>44223</v>
      </c>
    </row>
    <row r="343" spans="1:10">
      <c r="A343" s="94" t="s">
        <v>115</v>
      </c>
      <c r="B343" s="94">
        <v>3330</v>
      </c>
      <c r="C343" s="94" t="s">
        <v>134</v>
      </c>
      <c r="D343" s="95">
        <v>43857</v>
      </c>
      <c r="E343" s="94">
        <v>3100</v>
      </c>
      <c r="F343" s="94" t="s">
        <v>135</v>
      </c>
      <c r="G343" s="94" t="s">
        <v>209</v>
      </c>
      <c r="H343" s="95">
        <v>44223</v>
      </c>
    </row>
    <row r="344" spans="1:10">
      <c r="A344" s="87" t="s">
        <v>73</v>
      </c>
      <c r="B344" s="87">
        <v>1588</v>
      </c>
      <c r="C344" s="87" t="s">
        <v>109</v>
      </c>
      <c r="D344" s="102">
        <v>43857</v>
      </c>
      <c r="E344" s="87">
        <v>2500</v>
      </c>
      <c r="F344" s="87" t="s">
        <v>91</v>
      </c>
      <c r="G344" s="87" t="s">
        <v>209</v>
      </c>
      <c r="H344" s="102">
        <v>44223</v>
      </c>
    </row>
    <row r="345" spans="1:10">
      <c r="A345" s="94" t="s">
        <v>115</v>
      </c>
      <c r="B345" s="94">
        <v>3331</v>
      </c>
      <c r="C345" s="94" t="s">
        <v>147</v>
      </c>
      <c r="D345" s="95">
        <v>43857</v>
      </c>
      <c r="E345" s="94">
        <v>5200</v>
      </c>
      <c r="F345" s="94" t="s">
        <v>89</v>
      </c>
      <c r="G345" s="94" t="s">
        <v>209</v>
      </c>
      <c r="H345" s="95">
        <v>44223</v>
      </c>
    </row>
    <row r="346" spans="1:10">
      <c r="A346" s="87" t="s">
        <v>115</v>
      </c>
      <c r="B346" s="87">
        <v>3332</v>
      </c>
      <c r="C346" s="87" t="s">
        <v>130</v>
      </c>
      <c r="D346" s="102">
        <v>44223</v>
      </c>
      <c r="E346" s="87">
        <v>1500</v>
      </c>
      <c r="F346" s="87" t="s">
        <v>142</v>
      </c>
      <c r="G346" s="87" t="s">
        <v>209</v>
      </c>
      <c r="H346" s="102">
        <v>44223</v>
      </c>
    </row>
    <row r="347" spans="1:10">
      <c r="A347" s="87" t="s">
        <v>115</v>
      </c>
      <c r="B347" s="87">
        <v>3333</v>
      </c>
      <c r="C347" s="96" t="s">
        <v>144</v>
      </c>
      <c r="D347" s="102">
        <v>44223</v>
      </c>
      <c r="E347" s="96">
        <v>16500</v>
      </c>
      <c r="F347" s="96" t="s">
        <v>162</v>
      </c>
      <c r="G347" s="87" t="s">
        <v>209</v>
      </c>
      <c r="H347" s="102">
        <v>44223</v>
      </c>
    </row>
    <row r="348" spans="1:10">
      <c r="A348" s="87" t="s">
        <v>115</v>
      </c>
      <c r="B348" s="87">
        <v>3334</v>
      </c>
      <c r="C348" s="118" t="s">
        <v>152</v>
      </c>
      <c r="D348" s="102">
        <v>43857</v>
      </c>
      <c r="E348" s="87">
        <v>3500</v>
      </c>
      <c r="F348" s="87" t="s">
        <v>164</v>
      </c>
      <c r="G348" s="87" t="s">
        <v>209</v>
      </c>
      <c r="H348" s="102">
        <v>44223</v>
      </c>
    </row>
    <row r="349" spans="1:10">
      <c r="A349" s="87" t="s">
        <v>73</v>
      </c>
      <c r="B349" s="87">
        <v>1589</v>
      </c>
      <c r="C349" s="87" t="s">
        <v>87</v>
      </c>
      <c r="D349" s="102">
        <v>43857</v>
      </c>
      <c r="E349" s="87">
        <v>1100</v>
      </c>
      <c r="F349" s="87" t="s">
        <v>91</v>
      </c>
      <c r="G349" s="87" t="s">
        <v>209</v>
      </c>
      <c r="H349" s="87"/>
    </row>
    <row r="350" spans="1:10">
      <c r="A350" s="87" t="s">
        <v>115</v>
      </c>
      <c r="B350" s="87">
        <v>3335</v>
      </c>
      <c r="C350" s="87" t="s">
        <v>129</v>
      </c>
      <c r="D350" s="102">
        <v>44223</v>
      </c>
      <c r="E350" s="87">
        <v>500</v>
      </c>
      <c r="F350" s="87" t="s">
        <v>142</v>
      </c>
      <c r="G350" s="87" t="s">
        <v>209</v>
      </c>
      <c r="H350" s="102">
        <v>44223</v>
      </c>
    </row>
    <row r="351" spans="1:10">
      <c r="A351" s="94" t="s">
        <v>115</v>
      </c>
      <c r="B351" s="94">
        <v>3336</v>
      </c>
      <c r="C351" s="94" t="s">
        <v>132</v>
      </c>
      <c r="D351" s="95">
        <v>43857</v>
      </c>
      <c r="E351" s="94">
        <v>3700</v>
      </c>
      <c r="F351" s="94" t="s">
        <v>135</v>
      </c>
      <c r="G351" s="94" t="s">
        <v>209</v>
      </c>
      <c r="H351" s="95">
        <v>44223</v>
      </c>
      <c r="I351" t="s">
        <v>213</v>
      </c>
    </row>
    <row r="352" spans="1:10">
      <c r="A352" s="87" t="s">
        <v>115</v>
      </c>
      <c r="B352" s="87">
        <v>3337</v>
      </c>
      <c r="C352" s="87" t="s">
        <v>141</v>
      </c>
      <c r="D352" s="102">
        <v>44223</v>
      </c>
      <c r="E352" s="87">
        <v>1800</v>
      </c>
      <c r="F352" s="87" t="s">
        <v>142</v>
      </c>
      <c r="G352" s="87" t="s">
        <v>209</v>
      </c>
      <c r="H352" s="102">
        <v>44223</v>
      </c>
    </row>
    <row r="353" spans="1:10">
      <c r="A353" s="94" t="s">
        <v>115</v>
      </c>
      <c r="B353" s="94">
        <v>3338</v>
      </c>
      <c r="C353" s="94" t="s">
        <v>214</v>
      </c>
      <c r="D353" s="95">
        <v>43857</v>
      </c>
      <c r="E353" s="94">
        <v>2500</v>
      </c>
      <c r="F353" s="94" t="s">
        <v>215</v>
      </c>
      <c r="G353" s="94" t="s">
        <v>192</v>
      </c>
      <c r="H353" s="95">
        <v>44223</v>
      </c>
      <c r="I353" t="s">
        <v>216</v>
      </c>
    </row>
    <row r="354" spans="1:10">
      <c r="A354" s="87" t="s">
        <v>73</v>
      </c>
      <c r="B354" s="87">
        <v>1590</v>
      </c>
      <c r="C354" s="87" t="s">
        <v>81</v>
      </c>
      <c r="D354" s="102">
        <v>43857</v>
      </c>
      <c r="E354" s="87">
        <v>1800</v>
      </c>
      <c r="F354" s="87" t="s">
        <v>92</v>
      </c>
      <c r="G354" s="87" t="s">
        <v>209</v>
      </c>
      <c r="H354" s="102">
        <v>44223</v>
      </c>
    </row>
    <row r="355" spans="1:10">
      <c r="A355" s="87" t="s">
        <v>115</v>
      </c>
      <c r="B355" s="87">
        <v>3339</v>
      </c>
      <c r="C355" s="87" t="s">
        <v>137</v>
      </c>
      <c r="D355" s="102">
        <v>43857</v>
      </c>
      <c r="E355" s="87">
        <v>3900</v>
      </c>
      <c r="F355" s="87" t="s">
        <v>135</v>
      </c>
      <c r="G355" s="87" t="s">
        <v>209</v>
      </c>
      <c r="H355" s="102">
        <v>44223</v>
      </c>
    </row>
    <row r="356" spans="1:10">
      <c r="A356" s="87" t="s">
        <v>115</v>
      </c>
      <c r="B356" s="87">
        <v>3340</v>
      </c>
      <c r="C356" s="87" t="s">
        <v>149</v>
      </c>
      <c r="D356" s="102">
        <v>43857</v>
      </c>
      <c r="E356" s="87">
        <v>2600</v>
      </c>
      <c r="F356" s="87" t="s">
        <v>135</v>
      </c>
      <c r="G356" s="87" t="s">
        <v>209</v>
      </c>
      <c r="H356" s="102">
        <v>44223</v>
      </c>
    </row>
    <row r="357" spans="1:10">
      <c r="A357" s="87" t="s">
        <v>73</v>
      </c>
      <c r="B357" s="87">
        <v>1591</v>
      </c>
      <c r="C357" s="87" t="s">
        <v>99</v>
      </c>
      <c r="D357" s="102">
        <v>43857</v>
      </c>
      <c r="E357" s="87">
        <v>3400</v>
      </c>
      <c r="F357" s="87" t="s">
        <v>112</v>
      </c>
      <c r="G357" s="87" t="s">
        <v>209</v>
      </c>
      <c r="H357" s="102">
        <v>44223</v>
      </c>
    </row>
    <row r="358" spans="1:10">
      <c r="A358" s="87" t="s">
        <v>73</v>
      </c>
      <c r="B358" s="87">
        <v>1592</v>
      </c>
      <c r="C358" s="87" t="s">
        <v>80</v>
      </c>
      <c r="D358" s="102">
        <v>43857</v>
      </c>
      <c r="E358" s="87">
        <v>1500</v>
      </c>
      <c r="F358" s="87" t="s">
        <v>3</v>
      </c>
      <c r="G358" s="87" t="s">
        <v>209</v>
      </c>
      <c r="H358" s="102">
        <v>44223</v>
      </c>
    </row>
    <row r="359" spans="1:10">
      <c r="A359" s="87" t="s">
        <v>73</v>
      </c>
      <c r="B359" s="87">
        <v>1593</v>
      </c>
      <c r="C359" s="87" t="s">
        <v>96</v>
      </c>
      <c r="D359" s="102">
        <v>44223</v>
      </c>
      <c r="E359" s="87">
        <v>3400</v>
      </c>
      <c r="F359" s="87" t="s">
        <v>112</v>
      </c>
      <c r="G359" s="87" t="s">
        <v>209</v>
      </c>
      <c r="H359" s="102">
        <v>44223</v>
      </c>
    </row>
    <row r="360" spans="1:10">
      <c r="A360" s="87" t="s">
        <v>115</v>
      </c>
      <c r="B360" s="87">
        <v>3341</v>
      </c>
      <c r="C360" s="87" t="s">
        <v>148</v>
      </c>
      <c r="D360" s="102">
        <v>43857</v>
      </c>
      <c r="E360" s="87">
        <v>4000</v>
      </c>
      <c r="F360" s="87" t="s">
        <v>166</v>
      </c>
      <c r="G360" s="87" t="s">
        <v>209</v>
      </c>
      <c r="H360" s="102">
        <v>44223</v>
      </c>
    </row>
    <row r="361" spans="1:10">
      <c r="A361" s="87" t="s">
        <v>115</v>
      </c>
      <c r="B361" s="87">
        <v>3342</v>
      </c>
      <c r="C361" s="87" t="s">
        <v>138</v>
      </c>
      <c r="D361" s="102">
        <v>43857</v>
      </c>
      <c r="E361" s="87">
        <v>2700</v>
      </c>
      <c r="F361" s="87" t="s">
        <v>135</v>
      </c>
      <c r="G361" s="87" t="s">
        <v>209</v>
      </c>
      <c r="H361" s="102">
        <v>44223</v>
      </c>
    </row>
    <row r="362" spans="1:10">
      <c r="A362" s="87" t="s">
        <v>73</v>
      </c>
      <c r="B362" s="87">
        <v>1594</v>
      </c>
      <c r="C362" s="87" t="s">
        <v>79</v>
      </c>
      <c r="D362" s="102">
        <v>43857</v>
      </c>
      <c r="E362" s="87">
        <v>1500</v>
      </c>
      <c r="F362" s="87" t="s">
        <v>112</v>
      </c>
      <c r="G362" s="87" t="s">
        <v>209</v>
      </c>
      <c r="H362" s="102">
        <v>44223</v>
      </c>
    </row>
    <row r="363" spans="1:10">
      <c r="A363" s="87" t="s">
        <v>73</v>
      </c>
      <c r="B363" s="87">
        <v>1595</v>
      </c>
      <c r="C363" s="96" t="s">
        <v>106</v>
      </c>
      <c r="D363" s="102">
        <v>43857</v>
      </c>
      <c r="E363" s="87">
        <v>2500</v>
      </c>
      <c r="F363" s="96" t="s">
        <v>107</v>
      </c>
      <c r="G363" s="87" t="s">
        <v>209</v>
      </c>
      <c r="H363" s="102">
        <v>44223</v>
      </c>
    </row>
    <row r="364" spans="1:10">
      <c r="A364" s="94" t="s">
        <v>115</v>
      </c>
      <c r="B364" s="94">
        <v>3343</v>
      </c>
      <c r="C364" s="94" t="s">
        <v>146</v>
      </c>
      <c r="D364" s="95">
        <v>43857</v>
      </c>
      <c r="E364" s="94">
        <v>2200</v>
      </c>
      <c r="F364" s="94" t="s">
        <v>135</v>
      </c>
      <c r="G364" s="94" t="s">
        <v>209</v>
      </c>
      <c r="H364" s="95">
        <v>44223</v>
      </c>
      <c r="I364" t="s">
        <v>217</v>
      </c>
    </row>
    <row r="365" spans="1:10">
      <c r="A365" s="87" t="s">
        <v>73</v>
      </c>
      <c r="B365" s="87">
        <v>1596</v>
      </c>
      <c r="C365" s="87" t="s">
        <v>110</v>
      </c>
      <c r="D365" s="102">
        <v>43857</v>
      </c>
      <c r="E365" s="87">
        <v>2500</v>
      </c>
      <c r="F365" s="87" t="s">
        <v>107</v>
      </c>
      <c r="G365" s="87" t="s">
        <v>209</v>
      </c>
      <c r="H365" s="102">
        <v>44223</v>
      </c>
    </row>
    <row r="366" spans="1:10">
      <c r="A366" s="87" t="s">
        <v>115</v>
      </c>
      <c r="B366" s="87">
        <v>3344</v>
      </c>
      <c r="C366" s="87" t="s">
        <v>127</v>
      </c>
      <c r="D366" s="102">
        <v>44223</v>
      </c>
      <c r="E366" s="87">
        <v>5400</v>
      </c>
      <c r="F366" s="87" t="s">
        <v>157</v>
      </c>
      <c r="G366" s="87" t="s">
        <v>209</v>
      </c>
      <c r="H366" s="102">
        <v>44223</v>
      </c>
    </row>
    <row r="367" spans="1:10">
      <c r="A367" s="94" t="s">
        <v>115</v>
      </c>
      <c r="B367" s="94">
        <v>3345</v>
      </c>
      <c r="C367" s="94" t="s">
        <v>173</v>
      </c>
      <c r="D367" s="95">
        <v>44228</v>
      </c>
      <c r="E367" s="94">
        <v>3000</v>
      </c>
      <c r="F367" s="94" t="s">
        <v>162</v>
      </c>
      <c r="G367" s="94" t="s">
        <v>218</v>
      </c>
      <c r="H367" s="95">
        <v>44228</v>
      </c>
      <c r="I367" t="s">
        <v>193</v>
      </c>
      <c r="J367" t="s">
        <v>219</v>
      </c>
    </row>
    <row r="368" spans="1:10">
      <c r="A368" s="87" t="s">
        <v>115</v>
      </c>
      <c r="B368" s="87">
        <v>3346</v>
      </c>
      <c r="C368" s="87" t="s">
        <v>220</v>
      </c>
      <c r="D368" s="102">
        <v>44229</v>
      </c>
      <c r="E368" s="87">
        <v>13500</v>
      </c>
      <c r="F368" s="87" t="s">
        <v>112</v>
      </c>
      <c r="G368" s="87" t="s">
        <v>221</v>
      </c>
      <c r="H368" s="102">
        <v>44229</v>
      </c>
    </row>
    <row r="369" spans="1:9">
      <c r="A369" s="87" t="s">
        <v>115</v>
      </c>
      <c r="B369" s="87">
        <v>3347</v>
      </c>
      <c r="C369" s="106" t="s">
        <v>222</v>
      </c>
      <c r="D369" s="102">
        <v>44229</v>
      </c>
      <c r="E369" s="87">
        <v>13500</v>
      </c>
      <c r="F369" s="87" t="s">
        <v>112</v>
      </c>
      <c r="G369" s="87" t="s">
        <v>221</v>
      </c>
      <c r="H369" s="102">
        <v>44229</v>
      </c>
    </row>
    <row r="370" spans="1:9">
      <c r="A370" s="94" t="s">
        <v>73</v>
      </c>
      <c r="B370" s="94">
        <v>1597</v>
      </c>
      <c r="C370" s="94" t="s">
        <v>207</v>
      </c>
      <c r="D370" s="95">
        <v>44237</v>
      </c>
      <c r="E370" s="94">
        <v>8000</v>
      </c>
      <c r="F370" s="94" t="s">
        <v>93</v>
      </c>
      <c r="G370" s="94" t="s">
        <v>209</v>
      </c>
      <c r="H370" s="95">
        <v>44237</v>
      </c>
      <c r="I370" t="s">
        <v>223</v>
      </c>
    </row>
    <row r="371" spans="1:9">
      <c r="A371" s="139" t="s">
        <v>115</v>
      </c>
      <c r="B371" s="139">
        <v>3348</v>
      </c>
      <c r="C371" s="139" t="s">
        <v>116</v>
      </c>
      <c r="D371" s="140">
        <v>44249</v>
      </c>
      <c r="E371" s="139">
        <v>1800</v>
      </c>
      <c r="F371" s="139" t="s">
        <v>162</v>
      </c>
      <c r="G371" s="139" t="s">
        <v>209</v>
      </c>
      <c r="H371" s="140">
        <v>44249</v>
      </c>
      <c r="I371" t="s">
        <v>224</v>
      </c>
    </row>
    <row r="372" spans="1:9">
      <c r="A372" s="87" t="s">
        <v>115</v>
      </c>
      <c r="B372" s="87">
        <v>3349</v>
      </c>
      <c r="C372" s="87" t="s">
        <v>118</v>
      </c>
      <c r="D372" s="102">
        <v>44249</v>
      </c>
      <c r="E372" s="87">
        <v>700</v>
      </c>
      <c r="F372" s="87" t="s">
        <v>162</v>
      </c>
      <c r="G372" s="87" t="s">
        <v>209</v>
      </c>
      <c r="H372" s="102">
        <v>44249</v>
      </c>
    </row>
    <row r="373" spans="1:9">
      <c r="A373" s="94" t="s">
        <v>115</v>
      </c>
      <c r="B373" s="94">
        <v>3350</v>
      </c>
      <c r="C373" s="94" t="s">
        <v>119</v>
      </c>
      <c r="D373" s="95">
        <v>44249</v>
      </c>
      <c r="E373" s="94">
        <v>1800</v>
      </c>
      <c r="F373" s="94" t="s">
        <v>162</v>
      </c>
      <c r="G373" s="94" t="s">
        <v>209</v>
      </c>
      <c r="H373" s="95">
        <v>44249</v>
      </c>
      <c r="I373" s="87" t="s">
        <v>181</v>
      </c>
    </row>
    <row r="374" spans="1:9">
      <c r="A374" s="94" t="s">
        <v>115</v>
      </c>
      <c r="B374" s="94">
        <v>3351</v>
      </c>
      <c r="C374" s="94" t="s">
        <v>121</v>
      </c>
      <c r="D374" s="95">
        <v>44249</v>
      </c>
      <c r="E374" s="94">
        <v>1500</v>
      </c>
      <c r="F374" s="94" t="s">
        <v>162</v>
      </c>
      <c r="G374" s="94" t="s">
        <v>209</v>
      </c>
      <c r="H374" s="95">
        <v>44249</v>
      </c>
      <c r="I374" t="s">
        <v>225</v>
      </c>
    </row>
    <row r="375" spans="1:9">
      <c r="A375" s="87" t="s">
        <v>115</v>
      </c>
      <c r="B375" s="87">
        <v>3352</v>
      </c>
      <c r="C375" s="87" t="s">
        <v>173</v>
      </c>
      <c r="D375" s="102">
        <v>44249</v>
      </c>
      <c r="E375" s="87">
        <v>400</v>
      </c>
      <c r="F375" s="87" t="s">
        <v>162</v>
      </c>
      <c r="G375" s="87" t="s">
        <v>209</v>
      </c>
      <c r="H375" s="102">
        <v>44249</v>
      </c>
    </row>
    <row r="376" spans="1:9">
      <c r="A376" s="94" t="s">
        <v>115</v>
      </c>
      <c r="B376" s="94">
        <v>3353</v>
      </c>
      <c r="C376" s="94" t="s">
        <v>122</v>
      </c>
      <c r="D376" s="95">
        <v>44249</v>
      </c>
      <c r="E376" s="94">
        <v>300</v>
      </c>
      <c r="F376" s="94" t="s">
        <v>162</v>
      </c>
      <c r="G376" s="94" t="s">
        <v>209</v>
      </c>
      <c r="H376" s="95">
        <v>44249</v>
      </c>
      <c r="I376" t="s">
        <v>182</v>
      </c>
    </row>
    <row r="377" spans="1:9">
      <c r="A377" s="87" t="s">
        <v>115</v>
      </c>
      <c r="B377" s="87">
        <v>3354</v>
      </c>
      <c r="C377" s="87" t="s">
        <v>124</v>
      </c>
      <c r="D377" s="102">
        <v>44249</v>
      </c>
      <c r="E377" s="87">
        <v>500</v>
      </c>
      <c r="F377" s="87" t="s">
        <v>162</v>
      </c>
      <c r="G377" s="87" t="s">
        <v>209</v>
      </c>
      <c r="H377" s="102">
        <v>44249</v>
      </c>
    </row>
    <row r="378" spans="1:9">
      <c r="A378" s="87" t="s">
        <v>115</v>
      </c>
      <c r="B378" s="87">
        <v>3355</v>
      </c>
      <c r="C378" s="87" t="s">
        <v>125</v>
      </c>
      <c r="D378" s="102">
        <v>44249</v>
      </c>
      <c r="E378" s="87">
        <v>400</v>
      </c>
      <c r="F378" s="87" t="s">
        <v>162</v>
      </c>
      <c r="G378" s="87" t="s">
        <v>209</v>
      </c>
      <c r="H378" s="102">
        <v>44249</v>
      </c>
    </row>
    <row r="379" spans="1:9">
      <c r="A379" s="139" t="s">
        <v>115</v>
      </c>
      <c r="B379" s="139">
        <v>3356</v>
      </c>
      <c r="C379" s="139" t="s">
        <v>126</v>
      </c>
      <c r="D379" s="140">
        <v>44249</v>
      </c>
      <c r="E379" s="139">
        <v>2000</v>
      </c>
      <c r="F379" s="139" t="s">
        <v>162</v>
      </c>
      <c r="G379" s="139" t="s">
        <v>209</v>
      </c>
      <c r="H379" s="142">
        <v>44249</v>
      </c>
      <c r="I379" s="87"/>
    </row>
    <row r="380" spans="1:9">
      <c r="A380" s="87" t="s">
        <v>115</v>
      </c>
      <c r="B380" s="87">
        <v>3357</v>
      </c>
      <c r="C380" s="87" t="s">
        <v>123</v>
      </c>
      <c r="D380" s="102">
        <v>44249</v>
      </c>
      <c r="E380" s="87">
        <v>9456</v>
      </c>
      <c r="F380" s="87" t="s">
        <v>162</v>
      </c>
      <c r="G380" s="87" t="s">
        <v>209</v>
      </c>
      <c r="H380" s="102">
        <v>44249</v>
      </c>
    </row>
    <row r="381" spans="1:9">
      <c r="A381" s="94" t="s">
        <v>115</v>
      </c>
      <c r="B381" s="94">
        <v>3358</v>
      </c>
      <c r="C381" s="94" t="s">
        <v>170</v>
      </c>
      <c r="D381" s="95">
        <v>44253</v>
      </c>
      <c r="E381" s="94">
        <f>2900+300</f>
        <v>3200</v>
      </c>
      <c r="F381" s="94" t="s">
        <v>161</v>
      </c>
      <c r="G381" s="94" t="s">
        <v>226</v>
      </c>
      <c r="H381" s="95">
        <v>44253</v>
      </c>
      <c r="I381" t="s">
        <v>210</v>
      </c>
    </row>
    <row r="382" spans="1:9">
      <c r="A382" s="87" t="s">
        <v>73</v>
      </c>
      <c r="B382" s="87">
        <v>1598</v>
      </c>
      <c r="C382" s="87" t="s">
        <v>82</v>
      </c>
      <c r="D382" s="102">
        <v>44253</v>
      </c>
      <c r="E382" s="87">
        <v>4600</v>
      </c>
      <c r="F382" s="87" t="s">
        <v>89</v>
      </c>
      <c r="G382" s="87" t="s">
        <v>226</v>
      </c>
      <c r="H382" s="102">
        <v>44253</v>
      </c>
    </row>
    <row r="383" spans="1:9">
      <c r="A383" s="87" t="s">
        <v>115</v>
      </c>
      <c r="B383" s="96">
        <v>3359</v>
      </c>
      <c r="C383" s="87" t="s">
        <v>145</v>
      </c>
      <c r="D383" s="102">
        <v>44253</v>
      </c>
      <c r="E383" s="87">
        <v>500</v>
      </c>
      <c r="F383" s="87" t="s">
        <v>162</v>
      </c>
      <c r="G383" s="87" t="s">
        <v>226</v>
      </c>
      <c r="H383" s="102">
        <v>44253</v>
      </c>
    </row>
    <row r="384" spans="1:9">
      <c r="A384" s="87" t="s">
        <v>115</v>
      </c>
      <c r="B384" s="96">
        <v>3360</v>
      </c>
      <c r="C384" s="87" t="s">
        <v>131</v>
      </c>
      <c r="D384" s="102">
        <v>44253</v>
      </c>
      <c r="E384" s="87">
        <v>1100</v>
      </c>
      <c r="F384" s="87" t="s">
        <v>142</v>
      </c>
      <c r="G384" s="87" t="s">
        <v>226</v>
      </c>
      <c r="H384" s="102">
        <v>44253</v>
      </c>
    </row>
    <row r="385" spans="1:9">
      <c r="A385" s="87" t="s">
        <v>115</v>
      </c>
      <c r="B385" s="96">
        <v>3361</v>
      </c>
      <c r="C385" s="87" t="s">
        <v>128</v>
      </c>
      <c r="D385" s="102">
        <v>44253</v>
      </c>
      <c r="E385" s="87">
        <v>9200</v>
      </c>
      <c r="F385" s="87" t="s">
        <v>142</v>
      </c>
      <c r="G385" s="87" t="s">
        <v>226</v>
      </c>
      <c r="H385" s="102">
        <v>44253</v>
      </c>
    </row>
    <row r="386" spans="1:9">
      <c r="A386" s="94" t="s">
        <v>115</v>
      </c>
      <c r="B386" s="103">
        <v>3362</v>
      </c>
      <c r="C386" s="94" t="s">
        <v>134</v>
      </c>
      <c r="D386" s="95">
        <v>44253</v>
      </c>
      <c r="E386" s="94">
        <v>3100</v>
      </c>
      <c r="F386" s="94" t="s">
        <v>135</v>
      </c>
      <c r="G386" s="94" t="s">
        <v>226</v>
      </c>
      <c r="H386" s="95">
        <v>44253</v>
      </c>
    </row>
    <row r="387" spans="1:9">
      <c r="A387" s="87" t="s">
        <v>73</v>
      </c>
      <c r="B387" s="96">
        <v>1599</v>
      </c>
      <c r="C387" s="87" t="s">
        <v>109</v>
      </c>
      <c r="D387" s="102">
        <v>44253</v>
      </c>
      <c r="E387" s="87">
        <v>2500</v>
      </c>
      <c r="F387" s="87" t="s">
        <v>91</v>
      </c>
      <c r="G387" s="87" t="s">
        <v>226</v>
      </c>
      <c r="H387" s="102">
        <v>44253</v>
      </c>
    </row>
    <row r="388" spans="1:9">
      <c r="A388" s="94" t="s">
        <v>115</v>
      </c>
      <c r="B388" s="94">
        <v>3363</v>
      </c>
      <c r="C388" s="94" t="s">
        <v>147</v>
      </c>
      <c r="D388" s="95">
        <v>44253</v>
      </c>
      <c r="E388" s="94">
        <v>5200</v>
      </c>
      <c r="F388" s="94" t="s">
        <v>89</v>
      </c>
      <c r="G388" s="94" t="s">
        <v>226</v>
      </c>
      <c r="H388" s="95">
        <v>44253</v>
      </c>
    </row>
    <row r="389" spans="1:9">
      <c r="A389" s="87" t="s">
        <v>115</v>
      </c>
      <c r="B389" s="87">
        <v>3364</v>
      </c>
      <c r="C389" s="87" t="s">
        <v>130</v>
      </c>
      <c r="D389" s="102">
        <v>44253</v>
      </c>
      <c r="E389" s="87">
        <v>1500</v>
      </c>
      <c r="F389" s="87" t="s">
        <v>142</v>
      </c>
      <c r="G389" s="87" t="s">
        <v>226</v>
      </c>
      <c r="H389" s="102">
        <v>44253</v>
      </c>
    </row>
    <row r="390" spans="1:9">
      <c r="A390" s="87" t="s">
        <v>115</v>
      </c>
      <c r="B390" s="87">
        <v>3365</v>
      </c>
      <c r="C390" s="96" t="s">
        <v>144</v>
      </c>
      <c r="D390" s="102">
        <v>44253</v>
      </c>
      <c r="E390" s="96">
        <v>16500</v>
      </c>
      <c r="F390" s="96" t="s">
        <v>162</v>
      </c>
      <c r="G390" s="87" t="s">
        <v>226</v>
      </c>
      <c r="H390" s="102">
        <v>44253</v>
      </c>
    </row>
    <row r="391" spans="1:9">
      <c r="A391" s="87" t="s">
        <v>115</v>
      </c>
      <c r="B391" s="87">
        <v>3366</v>
      </c>
      <c r="C391" s="118" t="s">
        <v>152</v>
      </c>
      <c r="D391" s="102">
        <v>44253</v>
      </c>
      <c r="E391" s="87">
        <v>3500</v>
      </c>
      <c r="F391" s="87" t="s">
        <v>164</v>
      </c>
      <c r="G391" s="87" t="s">
        <v>226</v>
      </c>
      <c r="H391" s="102">
        <v>44253</v>
      </c>
    </row>
    <row r="392" spans="1:9">
      <c r="A392" s="87" t="s">
        <v>73</v>
      </c>
      <c r="B392" s="87">
        <v>1600</v>
      </c>
      <c r="C392" s="87" t="s">
        <v>87</v>
      </c>
      <c r="D392" s="102">
        <v>44253</v>
      </c>
      <c r="E392" s="87">
        <v>1100</v>
      </c>
      <c r="F392" s="87" t="s">
        <v>91</v>
      </c>
      <c r="G392" s="87" t="s">
        <v>226</v>
      </c>
      <c r="H392" s="102"/>
    </row>
    <row r="393" spans="1:9">
      <c r="A393" s="87" t="s">
        <v>115</v>
      </c>
      <c r="B393" s="87">
        <v>3367</v>
      </c>
      <c r="C393" s="87" t="s">
        <v>129</v>
      </c>
      <c r="D393" s="102">
        <v>44253</v>
      </c>
      <c r="E393" s="87">
        <v>500</v>
      </c>
      <c r="F393" s="87" t="s">
        <v>142</v>
      </c>
      <c r="G393" s="87" t="s">
        <v>226</v>
      </c>
      <c r="H393" s="102">
        <v>44253</v>
      </c>
    </row>
    <row r="394" spans="1:9">
      <c r="A394" s="94" t="s">
        <v>115</v>
      </c>
      <c r="B394" s="94">
        <v>3368</v>
      </c>
      <c r="C394" s="94" t="s">
        <v>132</v>
      </c>
      <c r="D394" s="95">
        <v>44254</v>
      </c>
      <c r="E394" s="94">
        <v>3700</v>
      </c>
      <c r="F394" s="94" t="s">
        <v>135</v>
      </c>
      <c r="G394" s="94" t="s">
        <v>226</v>
      </c>
      <c r="H394" s="95">
        <v>44254</v>
      </c>
      <c r="I394" t="s">
        <v>193</v>
      </c>
    </row>
    <row r="395" spans="1:9">
      <c r="A395" s="87" t="s">
        <v>115</v>
      </c>
      <c r="B395" s="87">
        <v>3369</v>
      </c>
      <c r="C395" s="87" t="s">
        <v>141</v>
      </c>
      <c r="D395" s="102">
        <v>44254</v>
      </c>
      <c r="E395" s="87">
        <v>1800</v>
      </c>
      <c r="F395" s="87" t="s">
        <v>142</v>
      </c>
      <c r="G395" s="87" t="s">
        <v>226</v>
      </c>
      <c r="H395" s="102">
        <v>44254</v>
      </c>
    </row>
    <row r="396" spans="1:9">
      <c r="A396" s="87" t="s">
        <v>73</v>
      </c>
      <c r="B396" s="146">
        <v>1601</v>
      </c>
      <c r="C396" s="146" t="s">
        <v>207</v>
      </c>
      <c r="D396" s="102">
        <v>44254</v>
      </c>
      <c r="E396" s="146">
        <v>8000</v>
      </c>
      <c r="F396" s="87" t="s">
        <v>93</v>
      </c>
      <c r="G396" s="87" t="s">
        <v>226</v>
      </c>
      <c r="H396" s="102">
        <v>44254</v>
      </c>
    </row>
    <row r="397" spans="1:9">
      <c r="A397" s="87" t="s">
        <v>73</v>
      </c>
      <c r="B397" s="146">
        <v>1602</v>
      </c>
      <c r="C397" s="87" t="s">
        <v>81</v>
      </c>
      <c r="D397" s="102">
        <v>44254</v>
      </c>
      <c r="E397" s="87">
        <v>1800</v>
      </c>
      <c r="F397" s="87" t="s">
        <v>92</v>
      </c>
      <c r="G397" s="87" t="s">
        <v>226</v>
      </c>
      <c r="H397" s="102">
        <v>44254</v>
      </c>
    </row>
    <row r="398" spans="1:9">
      <c r="A398" s="87" t="s">
        <v>115</v>
      </c>
      <c r="B398" s="146">
        <v>3370</v>
      </c>
      <c r="C398" s="87" t="s">
        <v>137</v>
      </c>
      <c r="D398" s="102">
        <v>44254</v>
      </c>
      <c r="E398" s="87">
        <v>3900</v>
      </c>
      <c r="F398" s="87" t="s">
        <v>135</v>
      </c>
      <c r="G398" s="87" t="s">
        <v>226</v>
      </c>
      <c r="H398" s="102">
        <v>44254</v>
      </c>
    </row>
    <row r="399" spans="1:9">
      <c r="A399" s="87" t="s">
        <v>115</v>
      </c>
      <c r="B399" s="146">
        <v>3371</v>
      </c>
      <c r="C399" s="87" t="s">
        <v>149</v>
      </c>
      <c r="D399" s="102">
        <v>44254</v>
      </c>
      <c r="E399" s="87">
        <v>2600</v>
      </c>
      <c r="F399" s="87" t="s">
        <v>8</v>
      </c>
      <c r="G399" s="87" t="s">
        <v>226</v>
      </c>
      <c r="H399" s="102">
        <v>44254</v>
      </c>
    </row>
    <row r="400" spans="1:9">
      <c r="A400" s="87" t="s">
        <v>73</v>
      </c>
      <c r="B400" s="146">
        <v>1603</v>
      </c>
      <c r="C400" s="87" t="s">
        <v>99</v>
      </c>
      <c r="D400" s="102">
        <v>44254</v>
      </c>
      <c r="E400" s="87">
        <v>3400</v>
      </c>
      <c r="F400" s="87" t="s">
        <v>112</v>
      </c>
      <c r="G400" s="87" t="s">
        <v>226</v>
      </c>
      <c r="H400" s="102">
        <v>44254</v>
      </c>
    </row>
    <row r="401" spans="1:10">
      <c r="A401" s="87" t="s">
        <v>73</v>
      </c>
      <c r="B401" s="146">
        <v>1604</v>
      </c>
      <c r="C401" s="87" t="s">
        <v>80</v>
      </c>
      <c r="D401" s="102">
        <v>44254</v>
      </c>
      <c r="E401" s="87">
        <v>1500</v>
      </c>
      <c r="F401" s="87" t="s">
        <v>3</v>
      </c>
      <c r="G401" s="87" t="s">
        <v>226</v>
      </c>
      <c r="H401" s="102">
        <v>44254</v>
      </c>
    </row>
    <row r="402" spans="1:10">
      <c r="A402" s="87" t="s">
        <v>73</v>
      </c>
      <c r="B402" s="146">
        <v>1605</v>
      </c>
      <c r="C402" s="87" t="s">
        <v>96</v>
      </c>
      <c r="D402" s="102">
        <v>44254</v>
      </c>
      <c r="E402" s="87">
        <v>3400</v>
      </c>
      <c r="F402" s="87" t="s">
        <v>112</v>
      </c>
      <c r="G402" s="87" t="s">
        <v>226</v>
      </c>
      <c r="H402" s="102">
        <v>44254</v>
      </c>
    </row>
    <row r="403" spans="1:10">
      <c r="A403" s="87" t="s">
        <v>115</v>
      </c>
      <c r="B403" s="146">
        <v>3372</v>
      </c>
      <c r="C403" s="87" t="s">
        <v>148</v>
      </c>
      <c r="D403" s="102">
        <v>44254</v>
      </c>
      <c r="E403" s="87">
        <v>4000</v>
      </c>
      <c r="F403" s="87" t="s">
        <v>166</v>
      </c>
      <c r="G403" s="87" t="s">
        <v>226</v>
      </c>
      <c r="H403" s="102">
        <v>44254</v>
      </c>
    </row>
    <row r="404" spans="1:10">
      <c r="A404" s="87" t="s">
        <v>115</v>
      </c>
      <c r="B404" s="146">
        <v>3373</v>
      </c>
      <c r="C404" s="87" t="s">
        <v>138</v>
      </c>
      <c r="D404" s="102">
        <v>44254</v>
      </c>
      <c r="E404" s="87">
        <v>2700</v>
      </c>
      <c r="F404" s="87" t="s">
        <v>135</v>
      </c>
      <c r="G404" s="87" t="s">
        <v>226</v>
      </c>
      <c r="H404" s="102">
        <v>44254</v>
      </c>
    </row>
    <row r="405" spans="1:10">
      <c r="A405" s="87" t="s">
        <v>73</v>
      </c>
      <c r="B405" s="146">
        <v>1606</v>
      </c>
      <c r="C405" s="87" t="s">
        <v>79</v>
      </c>
      <c r="D405" s="102">
        <v>44254</v>
      </c>
      <c r="E405" s="87">
        <v>1500</v>
      </c>
      <c r="F405" s="87" t="s">
        <v>3</v>
      </c>
      <c r="G405" s="87" t="s">
        <v>226</v>
      </c>
      <c r="H405" s="102">
        <v>44254</v>
      </c>
    </row>
    <row r="406" spans="1:10">
      <c r="A406" s="94" t="s">
        <v>115</v>
      </c>
      <c r="B406" s="147">
        <v>3374</v>
      </c>
      <c r="C406" s="135" t="s">
        <v>146</v>
      </c>
      <c r="D406" s="95">
        <v>44254</v>
      </c>
      <c r="E406" s="94">
        <v>2000</v>
      </c>
      <c r="F406" s="94" t="s">
        <v>135</v>
      </c>
      <c r="G406" s="94" t="s">
        <v>226</v>
      </c>
      <c r="H406" s="95">
        <v>44254</v>
      </c>
      <c r="I406" t="s">
        <v>227</v>
      </c>
    </row>
    <row r="407" spans="1:10">
      <c r="A407" s="87" t="s">
        <v>73</v>
      </c>
      <c r="B407" s="146">
        <v>1607</v>
      </c>
      <c r="C407" s="87" t="s">
        <v>110</v>
      </c>
      <c r="D407" s="102">
        <v>44254</v>
      </c>
      <c r="E407" s="87">
        <v>2500</v>
      </c>
      <c r="F407" s="87" t="s">
        <v>107</v>
      </c>
      <c r="G407" s="87" t="s">
        <v>226</v>
      </c>
      <c r="H407" s="102">
        <v>44254</v>
      </c>
    </row>
    <row r="408" spans="1:10">
      <c r="A408" s="108" t="s">
        <v>115</v>
      </c>
      <c r="B408" s="148">
        <v>3375</v>
      </c>
      <c r="C408" s="108" t="s">
        <v>127</v>
      </c>
      <c r="D408" s="109">
        <v>44254</v>
      </c>
      <c r="E408" s="108">
        <v>5400</v>
      </c>
      <c r="F408" s="108" t="s">
        <v>157</v>
      </c>
      <c r="G408" s="108" t="s">
        <v>226</v>
      </c>
      <c r="H408" s="109">
        <v>44254</v>
      </c>
    </row>
    <row r="409" spans="1:10">
      <c r="A409" s="87" t="s">
        <v>115</v>
      </c>
      <c r="B409" s="87">
        <v>3376</v>
      </c>
      <c r="C409" s="129" t="s">
        <v>153</v>
      </c>
      <c r="D409" s="102">
        <v>44263</v>
      </c>
      <c r="E409" s="87">
        <v>6000</v>
      </c>
      <c r="F409" s="87" t="s">
        <v>168</v>
      </c>
      <c r="G409" s="107" t="s">
        <v>228</v>
      </c>
      <c r="H409" s="102">
        <v>44263</v>
      </c>
    </row>
    <row r="410" spans="1:10">
      <c r="A410" s="87" t="s">
        <v>115</v>
      </c>
      <c r="B410" s="87">
        <v>3377</v>
      </c>
      <c r="C410" s="129" t="s">
        <v>154</v>
      </c>
      <c r="D410" s="102">
        <v>44263</v>
      </c>
      <c r="E410" s="87">
        <f>7200+500</f>
        <v>7700</v>
      </c>
      <c r="F410" s="87" t="s">
        <v>168</v>
      </c>
      <c r="G410" s="107" t="s">
        <v>228</v>
      </c>
      <c r="H410" s="102">
        <v>44263</v>
      </c>
      <c r="J410" t="s">
        <v>229</v>
      </c>
    </row>
    <row r="411" spans="1:10">
      <c r="A411" s="87" t="s">
        <v>73</v>
      </c>
      <c r="B411" s="87">
        <v>1608</v>
      </c>
      <c r="C411" s="87" t="s">
        <v>230</v>
      </c>
      <c r="D411" s="102">
        <v>44263</v>
      </c>
      <c r="E411" s="87">
        <v>17000</v>
      </c>
      <c r="F411" s="87" t="s">
        <v>231</v>
      </c>
      <c r="G411" s="87" t="s">
        <v>232</v>
      </c>
      <c r="H411" s="102">
        <v>44263</v>
      </c>
    </row>
    <row r="412" spans="1:10">
      <c r="A412" s="87" t="s">
        <v>115</v>
      </c>
      <c r="B412" s="87">
        <v>3378</v>
      </c>
      <c r="C412" s="87" t="s">
        <v>233</v>
      </c>
      <c r="D412" s="102">
        <v>44263</v>
      </c>
      <c r="E412" s="87">
        <v>14300</v>
      </c>
      <c r="F412" s="87" t="s">
        <v>8</v>
      </c>
      <c r="G412" s="87" t="s">
        <v>232</v>
      </c>
      <c r="H412" s="102">
        <v>44263</v>
      </c>
    </row>
    <row r="413" spans="1:10">
      <c r="A413" s="87" t="s">
        <v>115</v>
      </c>
      <c r="B413" s="87">
        <v>3379</v>
      </c>
      <c r="C413" s="87" t="s">
        <v>234</v>
      </c>
      <c r="D413" s="102">
        <v>44263</v>
      </c>
      <c r="E413" s="87">
        <v>32000</v>
      </c>
      <c r="F413" s="87" t="s">
        <v>8</v>
      </c>
      <c r="G413" s="87" t="s">
        <v>232</v>
      </c>
      <c r="H413" s="102">
        <v>44263</v>
      </c>
    </row>
    <row r="414" spans="1:10">
      <c r="A414" s="87" t="s">
        <v>115</v>
      </c>
      <c r="B414" s="87">
        <v>3380</v>
      </c>
      <c r="C414" s="87" t="s">
        <v>235</v>
      </c>
      <c r="D414" s="102">
        <v>44263</v>
      </c>
      <c r="E414" s="87">
        <v>24000</v>
      </c>
      <c r="F414" s="87" t="s">
        <v>8</v>
      </c>
      <c r="G414" s="87" t="s">
        <v>232</v>
      </c>
      <c r="H414" s="102">
        <v>44263</v>
      </c>
    </row>
    <row r="415" spans="1:10">
      <c r="A415" s="87" t="s">
        <v>115</v>
      </c>
      <c r="B415" s="87">
        <v>3381</v>
      </c>
      <c r="C415" s="87" t="s">
        <v>190</v>
      </c>
      <c r="D415" s="102">
        <v>44263</v>
      </c>
      <c r="E415" s="87">
        <v>12000</v>
      </c>
      <c r="F415" s="87" t="s">
        <v>8</v>
      </c>
      <c r="G415" s="87" t="s">
        <v>236</v>
      </c>
      <c r="H415" s="102">
        <v>44263</v>
      </c>
    </row>
    <row r="416" spans="1:10">
      <c r="A416" s="87" t="s">
        <v>115</v>
      </c>
      <c r="B416" s="87">
        <v>3382</v>
      </c>
      <c r="C416" s="87" t="s">
        <v>237</v>
      </c>
      <c r="D416" s="102">
        <v>44266</v>
      </c>
      <c r="E416" s="87">
        <f>3600*4</f>
        <v>14400</v>
      </c>
      <c r="F416" s="87" t="s">
        <v>238</v>
      </c>
      <c r="G416" s="87" t="s">
        <v>239</v>
      </c>
      <c r="H416" s="102">
        <v>44266</v>
      </c>
    </row>
    <row r="417" spans="1:9">
      <c r="A417" s="139" t="s">
        <v>115</v>
      </c>
      <c r="B417" s="139">
        <v>3383</v>
      </c>
      <c r="C417" s="139" t="s">
        <v>116</v>
      </c>
      <c r="D417" s="140">
        <v>44272</v>
      </c>
      <c r="E417" s="139">
        <v>1850</v>
      </c>
      <c r="F417" s="139" t="s">
        <v>162</v>
      </c>
      <c r="G417" s="139" t="s">
        <v>226</v>
      </c>
      <c r="H417" s="140">
        <v>44272</v>
      </c>
      <c r="I417" t="s">
        <v>224</v>
      </c>
    </row>
    <row r="418" spans="1:9">
      <c r="A418" s="87" t="s">
        <v>115</v>
      </c>
      <c r="B418" s="87">
        <v>3384</v>
      </c>
      <c r="C418" s="87" t="s">
        <v>118</v>
      </c>
      <c r="D418" s="102">
        <v>44272</v>
      </c>
      <c r="E418" s="87">
        <v>700</v>
      </c>
      <c r="F418" s="87" t="s">
        <v>162</v>
      </c>
      <c r="G418" s="87" t="s">
        <v>226</v>
      </c>
      <c r="H418" s="102">
        <v>44272</v>
      </c>
    </row>
    <row r="419" spans="1:9">
      <c r="A419" s="94" t="s">
        <v>115</v>
      </c>
      <c r="B419" s="94">
        <v>3385</v>
      </c>
      <c r="C419" s="94" t="s">
        <v>119</v>
      </c>
      <c r="D419" s="95">
        <v>44272</v>
      </c>
      <c r="E419" s="94">
        <v>1800</v>
      </c>
      <c r="F419" s="94" t="s">
        <v>162</v>
      </c>
      <c r="G419" s="94" t="s">
        <v>226</v>
      </c>
      <c r="H419" s="95">
        <v>44272</v>
      </c>
      <c r="I419" s="87" t="s">
        <v>240</v>
      </c>
    </row>
    <row r="420" spans="1:9">
      <c r="A420" s="94" t="s">
        <v>115</v>
      </c>
      <c r="B420" s="94">
        <v>3386</v>
      </c>
      <c r="C420" s="94" t="s">
        <v>121</v>
      </c>
      <c r="D420" s="95">
        <v>44272</v>
      </c>
      <c r="E420" s="94">
        <v>1600</v>
      </c>
      <c r="F420" s="94" t="s">
        <v>162</v>
      </c>
      <c r="G420" s="94" t="s">
        <v>226</v>
      </c>
      <c r="H420" s="95">
        <v>44272</v>
      </c>
      <c r="I420" t="s">
        <v>225</v>
      </c>
    </row>
    <row r="421" spans="1:9">
      <c r="A421" s="94" t="s">
        <v>115</v>
      </c>
      <c r="B421" s="94">
        <v>3387</v>
      </c>
      <c r="C421" s="94" t="s">
        <v>173</v>
      </c>
      <c r="D421" s="95">
        <v>44272</v>
      </c>
      <c r="E421" s="94">
        <v>400</v>
      </c>
      <c r="F421" s="94" t="s">
        <v>162</v>
      </c>
      <c r="G421" s="94" t="s">
        <v>226</v>
      </c>
      <c r="H421" s="95">
        <v>44272</v>
      </c>
      <c r="I421" t="s">
        <v>182</v>
      </c>
    </row>
    <row r="422" spans="1:9">
      <c r="A422" s="94" t="s">
        <v>115</v>
      </c>
      <c r="B422" s="94">
        <v>3388</v>
      </c>
      <c r="C422" s="94" t="s">
        <v>122</v>
      </c>
      <c r="D422" s="95">
        <v>44272</v>
      </c>
      <c r="E422" s="94">
        <v>300</v>
      </c>
      <c r="F422" s="94" t="s">
        <v>162</v>
      </c>
      <c r="G422" s="94" t="s">
        <v>226</v>
      </c>
      <c r="H422" s="95">
        <v>44272</v>
      </c>
      <c r="I422" t="s">
        <v>182</v>
      </c>
    </row>
    <row r="423" spans="1:9">
      <c r="A423" s="87" t="s">
        <v>115</v>
      </c>
      <c r="B423" s="87">
        <v>3389</v>
      </c>
      <c r="C423" s="87" t="s">
        <v>124</v>
      </c>
      <c r="D423" s="102">
        <v>44272</v>
      </c>
      <c r="E423" s="87">
        <v>550</v>
      </c>
      <c r="F423" s="87" t="s">
        <v>162</v>
      </c>
      <c r="G423" s="87" t="s">
        <v>226</v>
      </c>
      <c r="H423" s="102">
        <v>44272</v>
      </c>
    </row>
    <row r="424" spans="1:9">
      <c r="A424" s="87" t="s">
        <v>115</v>
      </c>
      <c r="B424" s="87">
        <v>3390</v>
      </c>
      <c r="C424" s="87" t="s">
        <v>125</v>
      </c>
      <c r="D424" s="102">
        <v>44272</v>
      </c>
      <c r="E424" s="87">
        <v>400</v>
      </c>
      <c r="F424" s="87" t="s">
        <v>162</v>
      </c>
      <c r="G424" s="87" t="s">
        <v>226</v>
      </c>
      <c r="H424" s="102">
        <v>44272</v>
      </c>
    </row>
    <row r="425" spans="1:9">
      <c r="A425" s="139" t="s">
        <v>115</v>
      </c>
      <c r="B425" s="139">
        <v>3391</v>
      </c>
      <c r="C425" s="139" t="s">
        <v>126</v>
      </c>
      <c r="D425" s="140">
        <v>44272</v>
      </c>
      <c r="E425" s="139">
        <v>2000</v>
      </c>
      <c r="F425" s="139" t="s">
        <v>162</v>
      </c>
      <c r="G425" s="139" t="s">
        <v>226</v>
      </c>
      <c r="H425" s="142">
        <v>44272</v>
      </c>
      <c r="I425" s="87"/>
    </row>
    <row r="426" spans="1:9">
      <c r="A426" s="87" t="s">
        <v>115</v>
      </c>
      <c r="B426" s="87">
        <v>3392</v>
      </c>
      <c r="C426" s="87" t="s">
        <v>123</v>
      </c>
      <c r="D426" s="102">
        <v>44272</v>
      </c>
      <c r="E426" s="87">
        <v>9336</v>
      </c>
      <c r="F426" s="87" t="s">
        <v>162</v>
      </c>
      <c r="G426" s="87" t="s">
        <v>226</v>
      </c>
      <c r="H426" s="102">
        <v>44272</v>
      </c>
    </row>
    <row r="427" spans="1:9">
      <c r="A427" s="94" t="s">
        <v>115</v>
      </c>
      <c r="B427" s="94">
        <v>3393</v>
      </c>
      <c r="C427" s="94" t="s">
        <v>170</v>
      </c>
      <c r="D427" s="95">
        <v>44282</v>
      </c>
      <c r="E427" s="94">
        <f>2900+300</f>
        <v>3200</v>
      </c>
      <c r="F427" s="94" t="s">
        <v>161</v>
      </c>
      <c r="G427" s="94" t="s">
        <v>241</v>
      </c>
      <c r="H427" s="95">
        <v>44284</v>
      </c>
      <c r="I427" t="s">
        <v>242</v>
      </c>
    </row>
    <row r="428" spans="1:9">
      <c r="A428" s="114" t="s">
        <v>73</v>
      </c>
      <c r="B428" s="114">
        <v>1609</v>
      </c>
      <c r="C428" s="114" t="s">
        <v>102</v>
      </c>
      <c r="D428" s="115">
        <v>44282</v>
      </c>
      <c r="E428" s="114">
        <v>5000</v>
      </c>
      <c r="F428" s="114" t="s">
        <v>8</v>
      </c>
      <c r="G428" s="114" t="s">
        <v>243</v>
      </c>
      <c r="H428" s="115">
        <v>44284</v>
      </c>
    </row>
    <row r="429" spans="1:9">
      <c r="A429" s="87" t="s">
        <v>73</v>
      </c>
      <c r="B429" s="87">
        <v>1610</v>
      </c>
      <c r="C429" s="87" t="s">
        <v>82</v>
      </c>
      <c r="D429" s="102">
        <v>44282</v>
      </c>
      <c r="E429" s="87">
        <v>4600</v>
      </c>
      <c r="F429" s="87" t="s">
        <v>89</v>
      </c>
      <c r="G429" s="87" t="s">
        <v>241</v>
      </c>
      <c r="H429" s="102">
        <v>44282</v>
      </c>
    </row>
    <row r="430" spans="1:9">
      <c r="A430" s="87" t="s">
        <v>115</v>
      </c>
      <c r="B430" s="87">
        <v>3394</v>
      </c>
      <c r="C430" s="87" t="s">
        <v>131</v>
      </c>
      <c r="D430" s="102">
        <v>44282</v>
      </c>
      <c r="E430" s="87">
        <v>1100</v>
      </c>
      <c r="F430" s="87" t="s">
        <v>142</v>
      </c>
      <c r="G430" s="87" t="s">
        <v>241</v>
      </c>
      <c r="H430" s="102">
        <v>44284</v>
      </c>
    </row>
    <row r="431" spans="1:9">
      <c r="A431" s="87" t="s">
        <v>115</v>
      </c>
      <c r="B431" s="87">
        <v>3395</v>
      </c>
      <c r="C431" s="87" t="s">
        <v>128</v>
      </c>
      <c r="D431" s="102">
        <v>44282</v>
      </c>
      <c r="E431" s="87">
        <v>9200</v>
      </c>
      <c r="F431" s="87" t="s">
        <v>142</v>
      </c>
      <c r="G431" s="87" t="s">
        <v>241</v>
      </c>
      <c r="H431" s="102">
        <v>44284</v>
      </c>
    </row>
    <row r="432" spans="1:9">
      <c r="A432" s="94" t="s">
        <v>115</v>
      </c>
      <c r="B432" s="94">
        <v>3396</v>
      </c>
      <c r="C432" s="94" t="s">
        <v>134</v>
      </c>
      <c r="D432" s="95">
        <v>44282</v>
      </c>
      <c r="E432" s="94">
        <v>3100</v>
      </c>
      <c r="F432" s="94" t="s">
        <v>135</v>
      </c>
      <c r="G432" s="94" t="s">
        <v>241</v>
      </c>
      <c r="H432" s="95">
        <v>44284</v>
      </c>
    </row>
    <row r="433" spans="1:9">
      <c r="A433" s="94" t="s">
        <v>115</v>
      </c>
      <c r="B433" s="94">
        <v>3397</v>
      </c>
      <c r="C433" s="94" t="s">
        <v>214</v>
      </c>
      <c r="D433" s="95">
        <v>44282</v>
      </c>
      <c r="E433" s="94">
        <v>2500</v>
      </c>
      <c r="F433" s="94" t="s">
        <v>215</v>
      </c>
      <c r="G433" s="94" t="s">
        <v>244</v>
      </c>
      <c r="H433" s="95">
        <v>44284</v>
      </c>
      <c r="I433" t="s">
        <v>216</v>
      </c>
    </row>
    <row r="434" spans="1:9">
      <c r="A434" s="87" t="s">
        <v>115</v>
      </c>
      <c r="B434" s="87">
        <v>3398</v>
      </c>
      <c r="C434" s="87" t="s">
        <v>220</v>
      </c>
      <c r="D434" s="102">
        <v>44282</v>
      </c>
      <c r="E434" s="87">
        <f>1500*3</f>
        <v>4500</v>
      </c>
      <c r="F434" s="87" t="s">
        <v>112</v>
      </c>
      <c r="G434" s="87" t="s">
        <v>244</v>
      </c>
      <c r="H434" s="87"/>
    </row>
    <row r="435" spans="1:9">
      <c r="A435" s="87" t="s">
        <v>73</v>
      </c>
      <c r="B435" s="87">
        <v>1611</v>
      </c>
      <c r="C435" s="87" t="s">
        <v>109</v>
      </c>
      <c r="D435" s="102">
        <v>44282</v>
      </c>
      <c r="E435" s="87">
        <v>2500</v>
      </c>
      <c r="F435" s="87" t="s">
        <v>91</v>
      </c>
      <c r="G435" s="87" t="s">
        <v>241</v>
      </c>
      <c r="H435" s="102">
        <v>44284</v>
      </c>
    </row>
    <row r="436" spans="1:9">
      <c r="A436" s="87" t="s">
        <v>115</v>
      </c>
      <c r="B436" s="87">
        <v>3399</v>
      </c>
      <c r="C436" s="87" t="s">
        <v>147</v>
      </c>
      <c r="D436" s="102">
        <v>44282</v>
      </c>
      <c r="E436" s="87">
        <v>5200</v>
      </c>
      <c r="F436" s="87" t="s">
        <v>89</v>
      </c>
      <c r="G436" s="87" t="s">
        <v>241</v>
      </c>
      <c r="H436" s="102">
        <v>44282</v>
      </c>
    </row>
    <row r="437" spans="1:9">
      <c r="A437" s="87" t="s">
        <v>115</v>
      </c>
      <c r="B437" s="87">
        <v>3400</v>
      </c>
      <c r="C437" s="87" t="s">
        <v>130</v>
      </c>
      <c r="D437" s="102">
        <v>44282</v>
      </c>
      <c r="E437" s="87">
        <v>1500</v>
      </c>
      <c r="F437" s="87" t="s">
        <v>142</v>
      </c>
      <c r="G437" s="87" t="s">
        <v>241</v>
      </c>
      <c r="H437" s="102">
        <v>44284</v>
      </c>
    </row>
    <row r="438" spans="1:9">
      <c r="A438" s="87" t="s">
        <v>115</v>
      </c>
      <c r="B438" s="87">
        <v>3401</v>
      </c>
      <c r="C438" s="87" t="s">
        <v>140</v>
      </c>
      <c r="D438" s="102">
        <v>44282</v>
      </c>
      <c r="E438" s="87">
        <v>27300</v>
      </c>
      <c r="F438" s="87" t="s">
        <v>157</v>
      </c>
      <c r="G438" s="87" t="s">
        <v>244</v>
      </c>
      <c r="H438" s="102">
        <v>44284</v>
      </c>
      <c r="I438" t="s">
        <v>245</v>
      </c>
    </row>
    <row r="439" spans="1:9">
      <c r="A439" s="87" t="s">
        <v>73</v>
      </c>
      <c r="B439" s="87">
        <v>1612</v>
      </c>
      <c r="C439" s="149" t="s">
        <v>88</v>
      </c>
      <c r="D439" s="102">
        <v>44282</v>
      </c>
      <c r="E439" s="87">
        <f>10500+3000</f>
        <v>13500</v>
      </c>
      <c r="F439" s="87" t="s">
        <v>25</v>
      </c>
      <c r="G439" s="87" t="s">
        <v>244</v>
      </c>
      <c r="H439" s="102">
        <v>44284</v>
      </c>
      <c r="I439" t="s">
        <v>246</v>
      </c>
    </row>
    <row r="440" spans="1:9">
      <c r="A440" s="87" t="s">
        <v>115</v>
      </c>
      <c r="B440" s="87">
        <v>3402</v>
      </c>
      <c r="C440" s="118" t="s">
        <v>152</v>
      </c>
      <c r="D440" s="102">
        <v>44282</v>
      </c>
      <c r="E440" s="87">
        <v>3500</v>
      </c>
      <c r="F440" s="87" t="s">
        <v>164</v>
      </c>
      <c r="G440" s="87" t="s">
        <v>241</v>
      </c>
      <c r="H440" s="102">
        <v>44284</v>
      </c>
    </row>
    <row r="441" spans="1:9">
      <c r="A441" s="87" t="s">
        <v>73</v>
      </c>
      <c r="B441" s="87">
        <v>1613</v>
      </c>
      <c r="C441" s="87" t="s">
        <v>87</v>
      </c>
      <c r="D441" s="102">
        <v>44282</v>
      </c>
      <c r="E441" s="87">
        <v>1100</v>
      </c>
      <c r="F441" s="87" t="s">
        <v>91</v>
      </c>
      <c r="G441" s="87" t="s">
        <v>241</v>
      </c>
      <c r="H441" s="102">
        <v>44284</v>
      </c>
    </row>
    <row r="442" spans="1:9">
      <c r="A442" s="87" t="s">
        <v>115</v>
      </c>
      <c r="B442" s="87">
        <v>3403</v>
      </c>
      <c r="C442" s="87" t="s">
        <v>129</v>
      </c>
      <c r="D442" s="102">
        <v>44282</v>
      </c>
      <c r="E442" s="87">
        <v>500</v>
      </c>
      <c r="F442" s="87" t="s">
        <v>142</v>
      </c>
      <c r="G442" s="87" t="s">
        <v>241</v>
      </c>
      <c r="H442" s="102">
        <v>44284</v>
      </c>
    </row>
    <row r="443" spans="1:9">
      <c r="A443" s="94" t="s">
        <v>115</v>
      </c>
      <c r="B443" s="94">
        <v>3404</v>
      </c>
      <c r="C443" s="94" t="s">
        <v>132</v>
      </c>
      <c r="D443" s="95">
        <v>44282</v>
      </c>
      <c r="E443" s="94">
        <v>3700</v>
      </c>
      <c r="F443" s="94" t="s">
        <v>135</v>
      </c>
      <c r="G443" s="94" t="s">
        <v>241</v>
      </c>
      <c r="H443" s="95">
        <v>44284</v>
      </c>
      <c r="I443" t="s">
        <v>174</v>
      </c>
    </row>
    <row r="444" spans="1:9">
      <c r="A444" s="87" t="s">
        <v>115</v>
      </c>
      <c r="B444" s="87">
        <v>3405</v>
      </c>
      <c r="C444" s="87" t="s">
        <v>141</v>
      </c>
      <c r="D444" s="102">
        <v>44282</v>
      </c>
      <c r="E444" s="87">
        <v>1800</v>
      </c>
      <c r="F444" s="87" t="s">
        <v>142</v>
      </c>
      <c r="G444" s="87" t="s">
        <v>241</v>
      </c>
      <c r="H444" s="102">
        <v>44284</v>
      </c>
    </row>
    <row r="445" spans="1:9">
      <c r="A445" s="108" t="s">
        <v>115</v>
      </c>
      <c r="B445" s="108">
        <v>3406</v>
      </c>
      <c r="C445" s="108" t="s">
        <v>222</v>
      </c>
      <c r="D445" s="109">
        <v>44282</v>
      </c>
      <c r="E445" s="108">
        <f>1500*3</f>
        <v>4500</v>
      </c>
      <c r="F445" s="108" t="s">
        <v>112</v>
      </c>
      <c r="G445" s="108" t="s">
        <v>244</v>
      </c>
      <c r="H445" s="108"/>
    </row>
    <row r="446" spans="1:9">
      <c r="A446" s="87" t="s">
        <v>115</v>
      </c>
      <c r="B446" s="87">
        <v>3407</v>
      </c>
      <c r="C446" s="150" t="s">
        <v>175</v>
      </c>
      <c r="D446" s="102">
        <v>44282</v>
      </c>
      <c r="E446" s="87">
        <v>2700</v>
      </c>
      <c r="F446" s="87" t="s">
        <v>8</v>
      </c>
      <c r="G446" s="87" t="s">
        <v>244</v>
      </c>
      <c r="H446" s="109">
        <v>44284</v>
      </c>
    </row>
    <row r="447" spans="1:9">
      <c r="A447" s="87" t="s">
        <v>115</v>
      </c>
      <c r="B447" s="87">
        <v>3408</v>
      </c>
      <c r="C447" s="150" t="s">
        <v>177</v>
      </c>
      <c r="D447" s="102">
        <v>44282</v>
      </c>
      <c r="E447" s="87">
        <v>2700</v>
      </c>
      <c r="F447" s="87" t="s">
        <v>8</v>
      </c>
      <c r="G447" s="87" t="s">
        <v>244</v>
      </c>
      <c r="H447" s="102">
        <v>44284</v>
      </c>
    </row>
    <row r="448" spans="1:9">
      <c r="A448" s="87" t="s">
        <v>73</v>
      </c>
      <c r="B448" s="87">
        <v>1614</v>
      </c>
      <c r="C448" s="87" t="s">
        <v>207</v>
      </c>
      <c r="D448" s="102">
        <v>44282</v>
      </c>
      <c r="E448" s="87">
        <v>8000</v>
      </c>
      <c r="F448" s="87" t="s">
        <v>93</v>
      </c>
      <c r="G448" s="87" t="s">
        <v>241</v>
      </c>
      <c r="H448" s="102">
        <v>44284</v>
      </c>
    </row>
    <row r="449" spans="1:9">
      <c r="A449" s="87" t="s">
        <v>73</v>
      </c>
      <c r="B449" s="87">
        <v>1615</v>
      </c>
      <c r="C449" s="87" t="s">
        <v>81</v>
      </c>
      <c r="D449" s="102">
        <v>44282</v>
      </c>
      <c r="E449" s="87">
        <v>1800</v>
      </c>
      <c r="F449" s="87" t="s">
        <v>92</v>
      </c>
      <c r="G449" s="87" t="s">
        <v>241</v>
      </c>
      <c r="H449" s="102">
        <v>44284</v>
      </c>
    </row>
    <row r="450" spans="1:9">
      <c r="A450" s="87" t="s">
        <v>115</v>
      </c>
      <c r="B450" s="87">
        <v>3409</v>
      </c>
      <c r="C450" s="87" t="s">
        <v>137</v>
      </c>
      <c r="D450" s="102">
        <v>44282</v>
      </c>
      <c r="E450" s="87">
        <v>3900</v>
      </c>
      <c r="F450" s="87" t="s">
        <v>135</v>
      </c>
      <c r="G450" s="87" t="s">
        <v>241</v>
      </c>
      <c r="H450" s="102">
        <v>44284</v>
      </c>
    </row>
    <row r="451" spans="1:9">
      <c r="A451" s="94" t="s">
        <v>115</v>
      </c>
      <c r="B451" s="94">
        <v>3410</v>
      </c>
      <c r="C451" s="94" t="s">
        <v>149</v>
      </c>
      <c r="D451" s="95">
        <v>44282</v>
      </c>
      <c r="E451" s="94">
        <v>2600</v>
      </c>
      <c r="F451" s="94" t="s">
        <v>8</v>
      </c>
      <c r="G451" s="94" t="s">
        <v>241</v>
      </c>
      <c r="H451" s="95">
        <v>44284</v>
      </c>
      <c r="I451" t="s">
        <v>247</v>
      </c>
    </row>
    <row r="452" spans="1:9">
      <c r="A452" s="87" t="s">
        <v>73</v>
      </c>
      <c r="B452" s="87">
        <v>1616</v>
      </c>
      <c r="C452" s="87" t="s">
        <v>99</v>
      </c>
      <c r="D452" s="102">
        <v>44282</v>
      </c>
      <c r="E452" s="87">
        <v>3400</v>
      </c>
      <c r="F452" s="87" t="s">
        <v>112</v>
      </c>
      <c r="G452" s="87" t="s">
        <v>241</v>
      </c>
      <c r="H452" s="102">
        <v>44284</v>
      </c>
    </row>
    <row r="453" spans="1:9">
      <c r="A453" s="87" t="s">
        <v>73</v>
      </c>
      <c r="B453" s="87">
        <v>1617</v>
      </c>
      <c r="C453" s="87" t="s">
        <v>80</v>
      </c>
      <c r="D453" s="102">
        <v>44282</v>
      </c>
      <c r="E453" s="87">
        <v>1500</v>
      </c>
      <c r="F453" s="87" t="s">
        <v>3</v>
      </c>
      <c r="G453" s="87" t="s">
        <v>241</v>
      </c>
      <c r="H453" s="102">
        <v>44284</v>
      </c>
    </row>
    <row r="454" spans="1:9">
      <c r="A454" s="94" t="s">
        <v>73</v>
      </c>
      <c r="B454" s="94">
        <v>1618</v>
      </c>
      <c r="C454" s="94" t="s">
        <v>77</v>
      </c>
      <c r="D454" s="95">
        <v>44282</v>
      </c>
      <c r="E454" s="94">
        <v>2500</v>
      </c>
      <c r="F454" s="94" t="s">
        <v>91</v>
      </c>
      <c r="G454" s="94" t="s">
        <v>244</v>
      </c>
      <c r="H454" s="95">
        <v>44284</v>
      </c>
    </row>
    <row r="455" spans="1:9">
      <c r="A455" s="87" t="s">
        <v>73</v>
      </c>
      <c r="B455" s="87">
        <v>1619</v>
      </c>
      <c r="C455" s="87" t="s">
        <v>86</v>
      </c>
      <c r="D455" s="102">
        <v>44282</v>
      </c>
      <c r="E455" s="87">
        <v>4800</v>
      </c>
      <c r="F455" s="87" t="s">
        <v>8</v>
      </c>
      <c r="G455" s="87" t="s">
        <v>244</v>
      </c>
      <c r="H455" s="102">
        <v>44284</v>
      </c>
    </row>
    <row r="456" spans="1:9">
      <c r="A456" s="87" t="s">
        <v>73</v>
      </c>
      <c r="B456" s="87">
        <v>1620</v>
      </c>
      <c r="C456" s="87" t="s">
        <v>96</v>
      </c>
      <c r="D456" s="102">
        <v>44282</v>
      </c>
      <c r="E456" s="87">
        <v>3400</v>
      </c>
      <c r="F456" s="87" t="s">
        <v>112</v>
      </c>
      <c r="G456" s="87" t="s">
        <v>241</v>
      </c>
      <c r="H456" s="102">
        <v>44284</v>
      </c>
    </row>
    <row r="457" spans="1:9">
      <c r="A457" s="87" t="s">
        <v>115</v>
      </c>
      <c r="B457" s="87">
        <v>3411</v>
      </c>
      <c r="C457" s="87" t="s">
        <v>148</v>
      </c>
      <c r="D457" s="102">
        <v>44282</v>
      </c>
      <c r="E457" s="87">
        <v>4000</v>
      </c>
      <c r="F457" s="87" t="s">
        <v>166</v>
      </c>
      <c r="G457" s="87" t="s">
        <v>241</v>
      </c>
      <c r="H457" s="102">
        <v>44284</v>
      </c>
    </row>
    <row r="458" spans="1:9">
      <c r="A458" s="87" t="s">
        <v>115</v>
      </c>
      <c r="B458" s="87">
        <v>3412</v>
      </c>
      <c r="C458" s="87" t="s">
        <v>138</v>
      </c>
      <c r="D458" s="102">
        <v>44282</v>
      </c>
      <c r="E458" s="87">
        <v>2700</v>
      </c>
      <c r="F458" s="87" t="s">
        <v>135</v>
      </c>
      <c r="G458" s="87" t="s">
        <v>241</v>
      </c>
      <c r="H458" s="102">
        <v>44284</v>
      </c>
    </row>
    <row r="459" spans="1:9">
      <c r="A459" s="87" t="s">
        <v>73</v>
      </c>
      <c r="B459" s="87">
        <v>1621</v>
      </c>
      <c r="C459" s="87" t="s">
        <v>79</v>
      </c>
      <c r="D459" s="102">
        <v>44282</v>
      </c>
      <c r="E459" s="87">
        <v>1500</v>
      </c>
      <c r="F459" s="87" t="s">
        <v>3</v>
      </c>
      <c r="G459" s="87" t="s">
        <v>241</v>
      </c>
      <c r="H459" s="102">
        <v>44284</v>
      </c>
    </row>
    <row r="460" spans="1:9">
      <c r="A460" s="87" t="s">
        <v>73</v>
      </c>
      <c r="B460" s="87">
        <v>1622</v>
      </c>
      <c r="C460" s="87" t="s">
        <v>106</v>
      </c>
      <c r="D460" s="102">
        <v>44282</v>
      </c>
      <c r="E460" s="87">
        <v>5000</v>
      </c>
      <c r="F460" s="87" t="s">
        <v>107</v>
      </c>
      <c r="G460" s="87" t="s">
        <v>248</v>
      </c>
      <c r="H460" s="102">
        <v>44284</v>
      </c>
    </row>
    <row r="461" spans="1:9">
      <c r="A461" s="87" t="s">
        <v>115</v>
      </c>
      <c r="B461" s="87">
        <v>3413</v>
      </c>
      <c r="C461" s="87" t="s">
        <v>146</v>
      </c>
      <c r="D461" s="102">
        <v>44282</v>
      </c>
      <c r="E461" s="87">
        <v>2000</v>
      </c>
      <c r="F461" s="87" t="s">
        <v>135</v>
      </c>
      <c r="G461" s="87" t="s">
        <v>241</v>
      </c>
      <c r="H461" s="102">
        <v>44284</v>
      </c>
    </row>
    <row r="462" spans="1:9">
      <c r="A462" s="87" t="s">
        <v>73</v>
      </c>
      <c r="B462" s="87">
        <v>1623</v>
      </c>
      <c r="C462" s="87" t="s">
        <v>101</v>
      </c>
      <c r="D462" s="102">
        <v>44282</v>
      </c>
      <c r="E462" s="87">
        <v>4500</v>
      </c>
      <c r="F462" s="87" t="s">
        <v>8</v>
      </c>
      <c r="G462" s="87" t="s">
        <v>249</v>
      </c>
      <c r="H462" s="102">
        <v>44284</v>
      </c>
    </row>
    <row r="463" spans="1:9">
      <c r="A463" s="87" t="s">
        <v>115</v>
      </c>
      <c r="B463" s="87">
        <v>3414</v>
      </c>
      <c r="C463" s="87" t="s">
        <v>155</v>
      </c>
      <c r="D463" s="102">
        <v>44282</v>
      </c>
      <c r="E463" s="87">
        <v>9000</v>
      </c>
      <c r="F463" s="87" t="s">
        <v>89</v>
      </c>
      <c r="G463" s="87" t="s">
        <v>249</v>
      </c>
      <c r="H463" s="102">
        <v>44284</v>
      </c>
    </row>
    <row r="464" spans="1:9">
      <c r="A464" s="87" t="s">
        <v>73</v>
      </c>
      <c r="B464" s="87">
        <v>1624</v>
      </c>
      <c r="C464" s="87" t="s">
        <v>110</v>
      </c>
      <c r="D464" s="102">
        <v>44282</v>
      </c>
      <c r="E464" s="87">
        <v>2500</v>
      </c>
      <c r="F464" s="87" t="s">
        <v>107</v>
      </c>
      <c r="G464" s="87" t="s">
        <v>241</v>
      </c>
      <c r="H464" s="102">
        <v>44284</v>
      </c>
    </row>
    <row r="465" spans="1:10">
      <c r="A465" s="87" t="s">
        <v>115</v>
      </c>
      <c r="B465" s="87">
        <v>3415</v>
      </c>
      <c r="C465" s="87" t="s">
        <v>127</v>
      </c>
      <c r="D465" s="102">
        <v>44282</v>
      </c>
      <c r="E465" s="87">
        <v>5400</v>
      </c>
      <c r="F465" s="87" t="s">
        <v>157</v>
      </c>
      <c r="G465" s="87" t="s">
        <v>241</v>
      </c>
      <c r="H465" s="102">
        <v>44284</v>
      </c>
    </row>
    <row r="466" spans="1:10">
      <c r="A466" s="87" t="s">
        <v>115</v>
      </c>
      <c r="B466" s="87">
        <v>3416</v>
      </c>
      <c r="C466" s="87" t="s">
        <v>196</v>
      </c>
      <c r="D466" s="102">
        <v>44282</v>
      </c>
      <c r="E466" s="87">
        <v>4800</v>
      </c>
      <c r="F466" s="87" t="s">
        <v>8</v>
      </c>
      <c r="G466" s="87" t="s">
        <v>244</v>
      </c>
      <c r="H466" s="102">
        <v>44284</v>
      </c>
    </row>
    <row r="467" spans="1:10">
      <c r="A467" s="139" t="s">
        <v>250</v>
      </c>
      <c r="B467" s="139" t="s">
        <v>251</v>
      </c>
      <c r="C467" s="139" t="s">
        <v>116</v>
      </c>
      <c r="D467" s="140">
        <v>44301</v>
      </c>
      <c r="E467" s="139">
        <v>1850</v>
      </c>
      <c r="F467" s="139" t="s">
        <v>162</v>
      </c>
      <c r="G467" s="139" t="s">
        <v>241</v>
      </c>
      <c r="H467" s="139"/>
      <c r="I467" t="s">
        <v>224</v>
      </c>
    </row>
    <row r="468" spans="1:10">
      <c r="A468" s="87" t="s">
        <v>250</v>
      </c>
      <c r="B468" s="87" t="s">
        <v>252</v>
      </c>
      <c r="C468" s="87" t="s">
        <v>118</v>
      </c>
      <c r="D468" s="102">
        <v>44301</v>
      </c>
      <c r="E468" s="87">
        <v>700</v>
      </c>
      <c r="F468" s="87" t="s">
        <v>162</v>
      </c>
      <c r="G468" s="87" t="s">
        <v>241</v>
      </c>
      <c r="H468" s="87"/>
    </row>
    <row r="469" spans="1:10">
      <c r="A469" s="87" t="s">
        <v>250</v>
      </c>
      <c r="B469" s="87" t="s">
        <v>253</v>
      </c>
      <c r="C469" s="87" t="s">
        <v>119</v>
      </c>
      <c r="D469" s="102">
        <v>44301</v>
      </c>
      <c r="E469" s="87">
        <v>1900</v>
      </c>
      <c r="F469" s="87" t="s">
        <v>162</v>
      </c>
      <c r="G469" s="87" t="s">
        <v>241</v>
      </c>
      <c r="H469" s="87"/>
    </row>
    <row r="470" spans="1:10">
      <c r="A470" s="94" t="s">
        <v>250</v>
      </c>
      <c r="B470" s="94" t="s">
        <v>254</v>
      </c>
      <c r="C470" s="94" t="s">
        <v>121</v>
      </c>
      <c r="D470" s="95">
        <v>44301</v>
      </c>
      <c r="E470" s="94">
        <v>1700</v>
      </c>
      <c r="F470" s="94" t="s">
        <v>162</v>
      </c>
      <c r="G470" s="94" t="s">
        <v>241</v>
      </c>
      <c r="H470" s="94"/>
      <c r="I470" t="s">
        <v>255</v>
      </c>
    </row>
    <row r="471" spans="1:10">
      <c r="A471" s="87" t="s">
        <v>250</v>
      </c>
      <c r="B471" s="87" t="s">
        <v>256</v>
      </c>
      <c r="C471" s="87" t="s">
        <v>173</v>
      </c>
      <c r="D471" s="102">
        <v>44301</v>
      </c>
      <c r="E471" s="87">
        <v>400</v>
      </c>
      <c r="F471" s="87" t="s">
        <v>162</v>
      </c>
      <c r="G471" s="87" t="s">
        <v>241</v>
      </c>
      <c r="H471" s="87"/>
    </row>
    <row r="472" spans="1:10">
      <c r="A472" s="87" t="s">
        <v>250</v>
      </c>
      <c r="B472" s="87" t="s">
        <v>257</v>
      </c>
      <c r="C472" s="87" t="s">
        <v>122</v>
      </c>
      <c r="D472" s="102">
        <v>44301</v>
      </c>
      <c r="E472" s="87">
        <v>300</v>
      </c>
      <c r="F472" s="87" t="s">
        <v>162</v>
      </c>
      <c r="G472" s="87" t="s">
        <v>241</v>
      </c>
      <c r="H472" s="87"/>
    </row>
    <row r="473" spans="1:10">
      <c r="A473" s="87" t="s">
        <v>250</v>
      </c>
      <c r="B473" s="87" t="s">
        <v>258</v>
      </c>
      <c r="C473" s="87" t="s">
        <v>124</v>
      </c>
      <c r="D473" s="102">
        <v>44301</v>
      </c>
      <c r="E473" s="87">
        <v>300</v>
      </c>
      <c r="F473" s="87" t="s">
        <v>162</v>
      </c>
      <c r="G473" s="87" t="s">
        <v>241</v>
      </c>
      <c r="H473" s="87"/>
    </row>
    <row r="474" spans="1:10">
      <c r="A474" s="87" t="s">
        <v>250</v>
      </c>
      <c r="B474" s="87" t="s">
        <v>259</v>
      </c>
      <c r="C474" s="87" t="s">
        <v>125</v>
      </c>
      <c r="D474" s="102">
        <v>44301</v>
      </c>
      <c r="E474" s="87">
        <v>400</v>
      </c>
      <c r="F474" s="87" t="s">
        <v>162</v>
      </c>
      <c r="G474" s="87" t="s">
        <v>241</v>
      </c>
      <c r="H474" s="87"/>
    </row>
    <row r="475" spans="1:10">
      <c r="A475" s="87" t="s">
        <v>250</v>
      </c>
      <c r="B475" s="87" t="s">
        <v>260</v>
      </c>
      <c r="C475" s="87" t="s">
        <v>126</v>
      </c>
      <c r="D475" s="102">
        <v>44301</v>
      </c>
      <c r="E475" s="87">
        <v>1950</v>
      </c>
      <c r="F475" s="87" t="s">
        <v>162</v>
      </c>
      <c r="G475" s="87" t="s">
        <v>241</v>
      </c>
      <c r="H475" s="87"/>
    </row>
    <row r="476" spans="1:10">
      <c r="A476" s="94" t="s">
        <v>250</v>
      </c>
      <c r="B476" s="94" t="s">
        <v>261</v>
      </c>
      <c r="C476" s="94" t="s">
        <v>123</v>
      </c>
      <c r="D476" s="95">
        <v>44301</v>
      </c>
      <c r="E476" s="94">
        <v>9816</v>
      </c>
      <c r="F476" s="94" t="s">
        <v>162</v>
      </c>
      <c r="G476" s="94" t="s">
        <v>241</v>
      </c>
      <c r="H476" s="94"/>
      <c r="I476" t="s">
        <v>262</v>
      </c>
    </row>
    <row r="477" spans="1:10">
      <c r="A477" s="87" t="s">
        <v>73</v>
      </c>
      <c r="B477" s="87">
        <v>1630</v>
      </c>
      <c r="C477" s="87" t="s">
        <v>99</v>
      </c>
      <c r="D477" s="102">
        <v>44312</v>
      </c>
      <c r="E477" s="87">
        <v>3500</v>
      </c>
      <c r="F477" s="87" t="s">
        <v>112</v>
      </c>
      <c r="G477" s="87" t="s">
        <v>263</v>
      </c>
      <c r="H477" s="102">
        <v>44312</v>
      </c>
      <c r="J477" t="s">
        <v>264</v>
      </c>
    </row>
    <row r="478" spans="1:10">
      <c r="A478" s="87" t="s">
        <v>73</v>
      </c>
      <c r="B478" s="87">
        <v>1632</v>
      </c>
      <c r="C478" s="87" t="s">
        <v>96</v>
      </c>
      <c r="D478" s="102">
        <v>44312</v>
      </c>
      <c r="E478" s="87">
        <v>3500</v>
      </c>
      <c r="F478" s="87" t="s">
        <v>112</v>
      </c>
      <c r="G478" s="87" t="s">
        <v>263</v>
      </c>
      <c r="H478" s="102">
        <v>44312</v>
      </c>
      <c r="J478">
        <v>100</v>
      </c>
    </row>
    <row r="479" spans="1:10">
      <c r="A479" s="87" t="s">
        <v>73</v>
      </c>
      <c r="B479" s="87">
        <v>1633</v>
      </c>
      <c r="C479" s="87" t="s">
        <v>79</v>
      </c>
      <c r="D479" s="102">
        <v>44312</v>
      </c>
      <c r="E479" s="87">
        <v>1600</v>
      </c>
      <c r="F479" s="87" t="s">
        <v>3</v>
      </c>
      <c r="G479" s="87" t="s">
        <v>263</v>
      </c>
      <c r="H479" s="102">
        <v>44312</v>
      </c>
      <c r="J479">
        <v>100</v>
      </c>
    </row>
    <row r="480" spans="1:10">
      <c r="A480" s="87" t="s">
        <v>73</v>
      </c>
      <c r="B480" s="87">
        <v>1631</v>
      </c>
      <c r="C480" s="87" t="s">
        <v>80</v>
      </c>
      <c r="D480" s="102">
        <v>44312</v>
      </c>
      <c r="E480" s="87">
        <v>1600</v>
      </c>
      <c r="F480" s="87" t="s">
        <v>3</v>
      </c>
      <c r="G480" s="87" t="s">
        <v>263</v>
      </c>
      <c r="H480" s="102">
        <v>44312</v>
      </c>
      <c r="J480">
        <v>100</v>
      </c>
    </row>
    <row r="481" spans="1:10">
      <c r="A481" s="87" t="s">
        <v>73</v>
      </c>
      <c r="B481" s="87">
        <v>1634</v>
      </c>
      <c r="C481" s="87" t="s">
        <v>106</v>
      </c>
      <c r="D481" s="102">
        <v>44312</v>
      </c>
      <c r="E481" s="87">
        <v>2700</v>
      </c>
      <c r="F481" s="87" t="s">
        <v>107</v>
      </c>
      <c r="G481" s="87" t="s">
        <v>263</v>
      </c>
      <c r="H481" s="102">
        <v>44312</v>
      </c>
      <c r="J481">
        <v>200</v>
      </c>
    </row>
    <row r="482" spans="1:10">
      <c r="A482" s="87" t="s">
        <v>73</v>
      </c>
      <c r="B482" s="87">
        <v>1635</v>
      </c>
      <c r="C482" s="87" t="s">
        <v>110</v>
      </c>
      <c r="D482" s="102">
        <v>44312</v>
      </c>
      <c r="E482" s="87">
        <v>2700</v>
      </c>
      <c r="F482" s="87" t="s">
        <v>107</v>
      </c>
      <c r="G482" s="87" t="s">
        <v>263</v>
      </c>
      <c r="H482" s="102">
        <v>44312</v>
      </c>
      <c r="J482">
        <v>200</v>
      </c>
    </row>
    <row r="483" spans="1:10">
      <c r="A483" s="87" t="s">
        <v>73</v>
      </c>
      <c r="B483" s="87">
        <v>1626</v>
      </c>
      <c r="C483" s="87" t="s">
        <v>109</v>
      </c>
      <c r="D483" s="102">
        <v>44312</v>
      </c>
      <c r="E483" s="87">
        <v>2700</v>
      </c>
      <c r="F483" s="87" t="s">
        <v>91</v>
      </c>
      <c r="G483" s="87" t="s">
        <v>263</v>
      </c>
      <c r="H483" s="102">
        <v>44312</v>
      </c>
      <c r="J483">
        <v>200</v>
      </c>
    </row>
    <row r="484" spans="1:10">
      <c r="A484" s="87" t="s">
        <v>115</v>
      </c>
      <c r="B484" s="87" t="s">
        <v>265</v>
      </c>
      <c r="C484" s="129" t="s">
        <v>153</v>
      </c>
      <c r="D484" s="102">
        <v>44376</v>
      </c>
      <c r="E484" s="87">
        <f>2100*3</f>
        <v>6300</v>
      </c>
      <c r="F484" s="87" t="s">
        <v>168</v>
      </c>
      <c r="G484" s="107" t="s">
        <v>266</v>
      </c>
      <c r="H484" s="102">
        <v>44376</v>
      </c>
      <c r="J484" t="s">
        <v>267</v>
      </c>
    </row>
    <row r="485" spans="1:10">
      <c r="A485" s="87" t="s">
        <v>115</v>
      </c>
      <c r="B485" s="87">
        <v>3459</v>
      </c>
      <c r="C485" s="129" t="s">
        <v>154</v>
      </c>
      <c r="D485" s="102">
        <v>44376</v>
      </c>
      <c r="E485" s="87">
        <v>6300</v>
      </c>
      <c r="F485" s="87" t="s">
        <v>168</v>
      </c>
      <c r="G485" s="107" t="s">
        <v>266</v>
      </c>
      <c r="H485" s="102">
        <v>44376</v>
      </c>
      <c r="J485" t="s">
        <v>267</v>
      </c>
    </row>
    <row r="486" spans="1:10">
      <c r="A486" s="87" t="s">
        <v>115</v>
      </c>
      <c r="B486" s="87">
        <v>3429</v>
      </c>
      <c r="C486" s="87" t="s">
        <v>148</v>
      </c>
      <c r="D486" s="102">
        <v>44312</v>
      </c>
      <c r="E486" s="87">
        <v>4100</v>
      </c>
      <c r="F486" s="87" t="s">
        <v>166</v>
      </c>
      <c r="G486" s="87" t="s">
        <v>263</v>
      </c>
      <c r="H486" s="102">
        <v>44312</v>
      </c>
      <c r="J486">
        <v>100</v>
      </c>
    </row>
    <row r="487" spans="1:10">
      <c r="A487" s="94" t="s">
        <v>115</v>
      </c>
      <c r="B487" s="94">
        <v>3425</v>
      </c>
      <c r="C487" s="94" t="s">
        <v>132</v>
      </c>
      <c r="D487" s="95">
        <v>44312</v>
      </c>
      <c r="E487" s="94">
        <v>3800</v>
      </c>
      <c r="F487" s="94" t="s">
        <v>135</v>
      </c>
      <c r="G487" s="94" t="s">
        <v>263</v>
      </c>
      <c r="H487" s="95">
        <v>44312</v>
      </c>
      <c r="I487" t="s">
        <v>268</v>
      </c>
      <c r="J487">
        <v>100</v>
      </c>
    </row>
    <row r="488" spans="1:10">
      <c r="A488" s="87" t="s">
        <v>115</v>
      </c>
      <c r="B488" s="87">
        <v>3427</v>
      </c>
      <c r="C488" s="87" t="s">
        <v>137</v>
      </c>
      <c r="D488" s="102">
        <v>44312</v>
      </c>
      <c r="E488" s="87">
        <v>4000</v>
      </c>
      <c r="F488" s="87" t="s">
        <v>135</v>
      </c>
      <c r="G488" s="87" t="s">
        <v>263</v>
      </c>
      <c r="H488" s="102">
        <v>44312</v>
      </c>
      <c r="J488">
        <v>100</v>
      </c>
    </row>
    <row r="489" spans="1:10">
      <c r="A489" s="87" t="s">
        <v>73</v>
      </c>
      <c r="B489" s="87">
        <v>1625</v>
      </c>
      <c r="C489" s="87" t="s">
        <v>82</v>
      </c>
      <c r="D489" s="102">
        <v>44312</v>
      </c>
      <c r="E489" s="87">
        <v>5000</v>
      </c>
      <c r="F489" s="87" t="s">
        <v>89</v>
      </c>
      <c r="G489" s="87" t="s">
        <v>263</v>
      </c>
      <c r="H489" s="102">
        <v>44312</v>
      </c>
      <c r="J489">
        <v>400</v>
      </c>
    </row>
    <row r="490" spans="1:10">
      <c r="A490" s="87" t="s">
        <v>115</v>
      </c>
      <c r="B490" s="87">
        <v>3421</v>
      </c>
      <c r="C490" s="87" t="s">
        <v>147</v>
      </c>
      <c r="D490" s="102">
        <v>44312</v>
      </c>
      <c r="E490" s="87">
        <v>5400</v>
      </c>
      <c r="F490" s="87" t="s">
        <v>89</v>
      </c>
      <c r="G490" s="87" t="s">
        <v>263</v>
      </c>
      <c r="H490" s="102">
        <v>44312</v>
      </c>
      <c r="J490">
        <v>200</v>
      </c>
    </row>
    <row r="491" spans="1:10">
      <c r="A491" s="87" t="s">
        <v>115</v>
      </c>
      <c r="B491" s="87">
        <v>3471</v>
      </c>
      <c r="C491" s="87" t="s">
        <v>155</v>
      </c>
      <c r="D491" s="102">
        <v>44376</v>
      </c>
      <c r="E491" s="139">
        <v>9000</v>
      </c>
      <c r="F491" s="87" t="s">
        <v>89</v>
      </c>
      <c r="G491" s="87" t="s">
        <v>266</v>
      </c>
      <c r="H491" s="102">
        <v>44376</v>
      </c>
    </row>
    <row r="492" spans="1:10">
      <c r="A492" s="87" t="s">
        <v>115</v>
      </c>
      <c r="B492" s="87">
        <v>3432</v>
      </c>
      <c r="C492" s="87" t="s">
        <v>127</v>
      </c>
      <c r="D492" s="102">
        <v>44312</v>
      </c>
      <c r="E492" s="87">
        <v>5500</v>
      </c>
      <c r="F492" s="87" t="s">
        <v>157</v>
      </c>
      <c r="G492" s="87" t="s">
        <v>263</v>
      </c>
      <c r="H492" s="102">
        <v>44312</v>
      </c>
      <c r="J492">
        <v>100</v>
      </c>
    </row>
    <row r="493" spans="1:10">
      <c r="A493" s="87" t="s">
        <v>115</v>
      </c>
      <c r="B493" s="87">
        <v>3426</v>
      </c>
      <c r="C493" s="87" t="s">
        <v>141</v>
      </c>
      <c r="D493" s="102">
        <v>44312</v>
      </c>
      <c r="E493" s="87">
        <v>1900</v>
      </c>
      <c r="F493" s="87" t="s">
        <v>142</v>
      </c>
      <c r="G493" s="87" t="s">
        <v>263</v>
      </c>
      <c r="H493" s="102">
        <v>44312</v>
      </c>
      <c r="J493">
        <v>100</v>
      </c>
    </row>
    <row r="494" spans="1:10">
      <c r="A494" s="87" t="s">
        <v>73</v>
      </c>
      <c r="B494" s="87">
        <v>1659</v>
      </c>
      <c r="C494" s="87" t="s">
        <v>101</v>
      </c>
      <c r="D494" s="102">
        <v>44376</v>
      </c>
      <c r="E494" s="87">
        <v>4600</v>
      </c>
      <c r="F494" s="87" t="s">
        <v>8</v>
      </c>
      <c r="G494" s="87" t="s">
        <v>266</v>
      </c>
      <c r="H494" s="102">
        <v>44376</v>
      </c>
      <c r="J494">
        <v>100</v>
      </c>
    </row>
    <row r="495" spans="1:10">
      <c r="A495" s="94" t="s">
        <v>115</v>
      </c>
      <c r="B495" s="94">
        <v>3417</v>
      </c>
      <c r="C495" s="94" t="s">
        <v>170</v>
      </c>
      <c r="D495" s="95">
        <v>44312</v>
      </c>
      <c r="E495" s="94">
        <f>2900+300</f>
        <v>3200</v>
      </c>
      <c r="F495" s="94" t="s">
        <v>161</v>
      </c>
      <c r="G495" s="94" t="s">
        <v>263</v>
      </c>
      <c r="H495" s="95">
        <v>44312</v>
      </c>
      <c r="I495" t="s">
        <v>269</v>
      </c>
    </row>
    <row r="496" spans="1:10">
      <c r="A496" s="87" t="s">
        <v>115</v>
      </c>
      <c r="B496" s="87">
        <v>3418</v>
      </c>
      <c r="C496" s="87" t="s">
        <v>131</v>
      </c>
      <c r="D496" s="102">
        <v>44312</v>
      </c>
      <c r="E496" s="87">
        <v>1100</v>
      </c>
      <c r="F496" s="87" t="s">
        <v>142</v>
      </c>
      <c r="G496" s="87" t="s">
        <v>263</v>
      </c>
      <c r="H496" s="102">
        <v>44312</v>
      </c>
    </row>
    <row r="497" spans="1:9">
      <c r="A497" s="87" t="s">
        <v>115</v>
      </c>
      <c r="B497" s="87">
        <v>3419</v>
      </c>
      <c r="C497" s="87" t="s">
        <v>128</v>
      </c>
      <c r="D497" s="102">
        <v>44312</v>
      </c>
      <c r="E497" s="87">
        <v>9200</v>
      </c>
      <c r="F497" s="87" t="s">
        <v>142</v>
      </c>
      <c r="G497" s="87" t="s">
        <v>263</v>
      </c>
      <c r="H497" s="102">
        <v>44312</v>
      </c>
    </row>
    <row r="498" spans="1:9">
      <c r="A498" s="94" t="s">
        <v>115</v>
      </c>
      <c r="B498" s="94">
        <v>3420</v>
      </c>
      <c r="C498" s="94" t="s">
        <v>134</v>
      </c>
      <c r="D498" s="95">
        <v>44312</v>
      </c>
      <c r="E498" s="94">
        <v>3100</v>
      </c>
      <c r="F498" s="94" t="s">
        <v>135</v>
      </c>
      <c r="G498" s="94" t="s">
        <v>263</v>
      </c>
      <c r="H498" s="95">
        <v>44312</v>
      </c>
    </row>
    <row r="499" spans="1:9">
      <c r="A499" s="87" t="s">
        <v>115</v>
      </c>
      <c r="B499" s="87">
        <v>3422</v>
      </c>
      <c r="C499" s="87" t="s">
        <v>130</v>
      </c>
      <c r="D499" s="102">
        <v>44312</v>
      </c>
      <c r="E499" s="87">
        <v>1500</v>
      </c>
      <c r="F499" s="87" t="s">
        <v>142</v>
      </c>
      <c r="G499" s="87" t="s">
        <v>263</v>
      </c>
      <c r="H499" s="102">
        <v>44312</v>
      </c>
    </row>
    <row r="500" spans="1:9">
      <c r="A500" s="87" t="s">
        <v>115</v>
      </c>
      <c r="B500" s="87">
        <v>3423</v>
      </c>
      <c r="C500" s="118" t="s">
        <v>152</v>
      </c>
      <c r="D500" s="102">
        <v>44312</v>
      </c>
      <c r="E500" s="87">
        <v>3500</v>
      </c>
      <c r="F500" s="87" t="s">
        <v>164</v>
      </c>
      <c r="G500" s="87" t="s">
        <v>263</v>
      </c>
      <c r="H500" s="102">
        <v>44312</v>
      </c>
    </row>
    <row r="501" spans="1:9">
      <c r="A501" s="87" t="s">
        <v>73</v>
      </c>
      <c r="B501" s="87">
        <v>1627</v>
      </c>
      <c r="C501" s="87" t="s">
        <v>87</v>
      </c>
      <c r="D501" s="102">
        <v>44312</v>
      </c>
      <c r="E501" s="87">
        <v>1100</v>
      </c>
      <c r="F501" s="87" t="s">
        <v>91</v>
      </c>
      <c r="G501" s="87" t="s">
        <v>263</v>
      </c>
      <c r="H501" s="102">
        <v>44312</v>
      </c>
    </row>
    <row r="502" spans="1:9">
      <c r="A502" s="87" t="s">
        <v>115</v>
      </c>
      <c r="B502" s="87">
        <v>3424</v>
      </c>
      <c r="C502" s="87" t="s">
        <v>129</v>
      </c>
      <c r="D502" s="102">
        <v>44312</v>
      </c>
      <c r="E502" s="87">
        <v>500</v>
      </c>
      <c r="F502" s="87" t="s">
        <v>142</v>
      </c>
      <c r="G502" s="87" t="s">
        <v>263</v>
      </c>
      <c r="H502" s="102">
        <v>44312</v>
      </c>
    </row>
    <row r="503" spans="1:9">
      <c r="A503" s="87" t="s">
        <v>73</v>
      </c>
      <c r="B503" s="87">
        <v>1628</v>
      </c>
      <c r="C503" s="87" t="s">
        <v>207</v>
      </c>
      <c r="D503" s="102">
        <v>44312</v>
      </c>
      <c r="E503" s="87">
        <v>8000</v>
      </c>
      <c r="F503" s="87" t="s">
        <v>93</v>
      </c>
      <c r="G503" s="87" t="s">
        <v>263</v>
      </c>
      <c r="H503" s="102">
        <v>44312</v>
      </c>
    </row>
    <row r="504" spans="1:9">
      <c r="A504" s="87" t="s">
        <v>73</v>
      </c>
      <c r="B504" s="87">
        <v>1629</v>
      </c>
      <c r="C504" s="87" t="s">
        <v>81</v>
      </c>
      <c r="D504" s="102">
        <v>44312</v>
      </c>
      <c r="E504" s="87">
        <v>1800</v>
      </c>
      <c r="F504" s="87" t="s">
        <v>92</v>
      </c>
      <c r="G504" s="87" t="s">
        <v>263</v>
      </c>
      <c r="H504" s="102">
        <v>44312</v>
      </c>
    </row>
    <row r="505" spans="1:9">
      <c r="A505" s="87" t="s">
        <v>115</v>
      </c>
      <c r="B505" s="87">
        <v>3428</v>
      </c>
      <c r="C505" s="87" t="s">
        <v>149</v>
      </c>
      <c r="D505" s="102">
        <v>44312</v>
      </c>
      <c r="E505" s="87">
        <v>2600</v>
      </c>
      <c r="F505" s="87" t="s">
        <v>8</v>
      </c>
      <c r="G505" s="87" t="s">
        <v>263</v>
      </c>
      <c r="H505" s="102">
        <v>44312</v>
      </c>
    </row>
    <row r="506" spans="1:9">
      <c r="A506" s="87" t="s">
        <v>115</v>
      </c>
      <c r="B506" s="87">
        <v>3430</v>
      </c>
      <c r="C506" s="87" t="s">
        <v>138</v>
      </c>
      <c r="D506" s="102">
        <v>44312</v>
      </c>
      <c r="E506" s="87">
        <v>2700</v>
      </c>
      <c r="F506" s="87" t="s">
        <v>135</v>
      </c>
      <c r="G506" s="87" t="s">
        <v>263</v>
      </c>
      <c r="H506" s="102">
        <v>44312</v>
      </c>
    </row>
    <row r="507" spans="1:9">
      <c r="A507" s="87" t="s">
        <v>115</v>
      </c>
      <c r="B507" s="87">
        <v>3431</v>
      </c>
      <c r="C507" s="87" t="s">
        <v>146</v>
      </c>
      <c r="D507" s="102">
        <v>44312</v>
      </c>
      <c r="E507" s="87">
        <v>2000</v>
      </c>
      <c r="F507" s="87" t="s">
        <v>135</v>
      </c>
      <c r="G507" s="87" t="s">
        <v>263</v>
      </c>
      <c r="H507" s="102">
        <v>44312</v>
      </c>
      <c r="I507" t="s">
        <v>270</v>
      </c>
    </row>
    <row r="508" spans="1:9">
      <c r="A508" s="87" t="s">
        <v>115</v>
      </c>
      <c r="B508" s="87">
        <v>3433</v>
      </c>
      <c r="C508" s="87" t="s">
        <v>237</v>
      </c>
      <c r="D508" s="102">
        <v>44312</v>
      </c>
      <c r="E508" s="87">
        <v>3600</v>
      </c>
      <c r="F508" s="87" t="s">
        <v>238</v>
      </c>
      <c r="G508" s="87" t="s">
        <v>263</v>
      </c>
      <c r="H508" s="102">
        <v>44312</v>
      </c>
    </row>
    <row r="509" spans="1:9">
      <c r="A509" s="87" t="s">
        <v>115</v>
      </c>
      <c r="B509" s="87">
        <v>3434</v>
      </c>
      <c r="C509" s="87" t="s">
        <v>140</v>
      </c>
      <c r="D509" s="102">
        <v>44314</v>
      </c>
      <c r="E509" s="87">
        <v>10000</v>
      </c>
      <c r="F509" s="87" t="s">
        <v>25</v>
      </c>
      <c r="G509" s="87" t="s">
        <v>271</v>
      </c>
      <c r="H509" s="87"/>
    </row>
    <row r="510" spans="1:9">
      <c r="A510" s="94" t="s">
        <v>115</v>
      </c>
      <c r="B510" s="94">
        <v>3435</v>
      </c>
      <c r="C510" s="94" t="s">
        <v>170</v>
      </c>
      <c r="D510" s="95">
        <v>44342</v>
      </c>
      <c r="E510" s="94">
        <f>2900+300</f>
        <v>3200</v>
      </c>
      <c r="F510" s="94" t="s">
        <v>161</v>
      </c>
      <c r="G510" s="94" t="s">
        <v>272</v>
      </c>
      <c r="H510" s="95">
        <v>44342</v>
      </c>
      <c r="I510" t="s">
        <v>269</v>
      </c>
    </row>
    <row r="511" spans="1:9">
      <c r="A511" s="87" t="s">
        <v>73</v>
      </c>
      <c r="B511" s="87">
        <v>1636</v>
      </c>
      <c r="C511" s="87" t="s">
        <v>82</v>
      </c>
      <c r="D511" s="102">
        <v>44342</v>
      </c>
      <c r="E511" s="87">
        <v>5000</v>
      </c>
      <c r="F511" s="87" t="s">
        <v>89</v>
      </c>
      <c r="G511" s="87" t="s">
        <v>272</v>
      </c>
      <c r="H511" s="102">
        <v>44342</v>
      </c>
    </row>
    <row r="512" spans="1:9">
      <c r="A512" s="87" t="s">
        <v>115</v>
      </c>
      <c r="B512" s="87">
        <v>3436</v>
      </c>
      <c r="C512" s="87" t="s">
        <v>131</v>
      </c>
      <c r="D512" s="102">
        <v>44342</v>
      </c>
      <c r="E512" s="87">
        <v>1100</v>
      </c>
      <c r="F512" s="87" t="s">
        <v>142</v>
      </c>
      <c r="G512" s="87" t="s">
        <v>272</v>
      </c>
      <c r="H512" s="102">
        <v>44342</v>
      </c>
    </row>
    <row r="513" spans="1:9">
      <c r="A513" s="87" t="s">
        <v>115</v>
      </c>
      <c r="B513" s="87">
        <v>3437</v>
      </c>
      <c r="C513" s="87" t="s">
        <v>128</v>
      </c>
      <c r="D513" s="102">
        <v>44342</v>
      </c>
      <c r="E513" s="87">
        <v>9200</v>
      </c>
      <c r="F513" s="87" t="s">
        <v>142</v>
      </c>
      <c r="G513" s="87" t="s">
        <v>272</v>
      </c>
      <c r="H513" s="102">
        <v>44342</v>
      </c>
    </row>
    <row r="514" spans="1:9">
      <c r="A514" s="94" t="s">
        <v>115</v>
      </c>
      <c r="B514" s="94">
        <v>3438</v>
      </c>
      <c r="C514" s="94" t="s">
        <v>134</v>
      </c>
      <c r="D514" s="95">
        <v>44342</v>
      </c>
      <c r="E514" s="94">
        <v>3100</v>
      </c>
      <c r="F514" s="94" t="s">
        <v>135</v>
      </c>
      <c r="G514" s="94" t="s">
        <v>272</v>
      </c>
      <c r="H514" s="95">
        <v>44342</v>
      </c>
    </row>
    <row r="515" spans="1:9">
      <c r="A515" s="87" t="s">
        <v>73</v>
      </c>
      <c r="B515" s="87">
        <v>1637</v>
      </c>
      <c r="C515" s="87" t="s">
        <v>109</v>
      </c>
      <c r="D515" s="102">
        <v>44342</v>
      </c>
      <c r="E515" s="87">
        <v>2700</v>
      </c>
      <c r="F515" s="87" t="s">
        <v>91</v>
      </c>
      <c r="G515" s="87" t="s">
        <v>272</v>
      </c>
      <c r="H515" s="102">
        <v>44342</v>
      </c>
    </row>
    <row r="516" spans="1:9">
      <c r="A516" s="87" t="s">
        <v>115</v>
      </c>
      <c r="B516" s="87">
        <v>3439</v>
      </c>
      <c r="C516" s="87" t="s">
        <v>147</v>
      </c>
      <c r="D516" s="102">
        <v>44342</v>
      </c>
      <c r="E516" s="87">
        <v>5400</v>
      </c>
      <c r="F516" s="87" t="s">
        <v>89</v>
      </c>
      <c r="G516" s="87" t="s">
        <v>272</v>
      </c>
      <c r="H516" s="102">
        <v>44342</v>
      </c>
    </row>
    <row r="517" spans="1:9">
      <c r="A517" s="87" t="s">
        <v>115</v>
      </c>
      <c r="B517" s="87">
        <v>3440</v>
      </c>
      <c r="C517" s="87" t="s">
        <v>130</v>
      </c>
      <c r="D517" s="102">
        <v>44342</v>
      </c>
      <c r="E517" s="87">
        <v>1500</v>
      </c>
      <c r="F517" s="87" t="s">
        <v>142</v>
      </c>
      <c r="G517" s="87" t="s">
        <v>272</v>
      </c>
      <c r="H517" s="102">
        <v>44342</v>
      </c>
    </row>
    <row r="518" spans="1:9">
      <c r="A518" s="87" t="s">
        <v>115</v>
      </c>
      <c r="B518" s="87">
        <v>3441</v>
      </c>
      <c r="C518" s="118" t="s">
        <v>152</v>
      </c>
      <c r="D518" s="102">
        <v>44342</v>
      </c>
      <c r="E518" s="87">
        <v>3500</v>
      </c>
      <c r="F518" s="87" t="s">
        <v>164</v>
      </c>
      <c r="G518" s="87" t="s">
        <v>272</v>
      </c>
      <c r="H518" s="102">
        <v>44342</v>
      </c>
    </row>
    <row r="519" spans="1:9">
      <c r="A519" s="87" t="s">
        <v>73</v>
      </c>
      <c r="B519" s="87">
        <v>1638</v>
      </c>
      <c r="C519" s="87" t="s">
        <v>87</v>
      </c>
      <c r="D519" s="102">
        <v>44342</v>
      </c>
      <c r="E519" s="87">
        <v>1100</v>
      </c>
      <c r="F519" s="87" t="s">
        <v>91</v>
      </c>
      <c r="G519" s="87" t="s">
        <v>272</v>
      </c>
      <c r="H519" s="102">
        <v>44342</v>
      </c>
    </row>
    <row r="520" spans="1:9">
      <c r="A520" s="87" t="s">
        <v>115</v>
      </c>
      <c r="B520" s="87">
        <v>3442</v>
      </c>
      <c r="C520" s="87" t="s">
        <v>129</v>
      </c>
      <c r="D520" s="102">
        <v>44342</v>
      </c>
      <c r="E520" s="87">
        <v>500</v>
      </c>
      <c r="F520" s="87" t="s">
        <v>142</v>
      </c>
      <c r="G520" s="87" t="s">
        <v>272</v>
      </c>
      <c r="H520" s="102">
        <v>44342</v>
      </c>
    </row>
    <row r="521" spans="1:9">
      <c r="A521" s="94" t="s">
        <v>115</v>
      </c>
      <c r="B521" s="94">
        <v>3443</v>
      </c>
      <c r="C521" s="94" t="s">
        <v>132</v>
      </c>
      <c r="D521" s="95">
        <v>44342</v>
      </c>
      <c r="E521" s="94">
        <v>3800</v>
      </c>
      <c r="F521" s="94" t="s">
        <v>135</v>
      </c>
      <c r="G521" s="94" t="s">
        <v>272</v>
      </c>
      <c r="H521" s="95">
        <v>44342</v>
      </c>
      <c r="I521" t="s">
        <v>273</v>
      </c>
    </row>
    <row r="522" spans="1:9">
      <c r="A522" s="87" t="s">
        <v>115</v>
      </c>
      <c r="B522" s="87">
        <v>3444</v>
      </c>
      <c r="C522" s="87" t="s">
        <v>141</v>
      </c>
      <c r="D522" s="102">
        <v>44342</v>
      </c>
      <c r="E522" s="87">
        <v>1900</v>
      </c>
      <c r="F522" s="87" t="s">
        <v>142</v>
      </c>
      <c r="G522" s="87" t="s">
        <v>272</v>
      </c>
      <c r="H522" s="102">
        <v>44342</v>
      </c>
    </row>
    <row r="523" spans="1:9">
      <c r="A523" s="87" t="s">
        <v>73</v>
      </c>
      <c r="B523" s="87">
        <v>1639</v>
      </c>
      <c r="C523" s="87" t="s">
        <v>207</v>
      </c>
      <c r="D523" s="102">
        <v>44342</v>
      </c>
      <c r="E523" s="87">
        <v>8000</v>
      </c>
      <c r="F523" s="87" t="s">
        <v>93</v>
      </c>
      <c r="G523" s="87" t="s">
        <v>272</v>
      </c>
      <c r="H523" s="102">
        <v>44342</v>
      </c>
    </row>
    <row r="524" spans="1:9">
      <c r="A524" s="87" t="s">
        <v>73</v>
      </c>
      <c r="B524" s="87">
        <v>1640</v>
      </c>
      <c r="C524" s="87" t="s">
        <v>81</v>
      </c>
      <c r="D524" s="102">
        <v>44342</v>
      </c>
      <c r="E524" s="87">
        <v>1800</v>
      </c>
      <c r="F524" s="87" t="s">
        <v>92</v>
      </c>
      <c r="G524" s="87" t="s">
        <v>272</v>
      </c>
      <c r="H524" s="102">
        <v>44342</v>
      </c>
    </row>
    <row r="525" spans="1:9">
      <c r="A525" s="87" t="s">
        <v>115</v>
      </c>
      <c r="B525" s="87">
        <v>3445</v>
      </c>
      <c r="C525" s="87" t="s">
        <v>137</v>
      </c>
      <c r="D525" s="102">
        <v>44342</v>
      </c>
      <c r="E525" s="87">
        <v>4000</v>
      </c>
      <c r="F525" s="87" t="s">
        <v>135</v>
      </c>
      <c r="G525" s="87" t="s">
        <v>272</v>
      </c>
      <c r="H525" s="102">
        <v>44342</v>
      </c>
    </row>
    <row r="526" spans="1:9">
      <c r="A526" s="87" t="s">
        <v>115</v>
      </c>
      <c r="B526" s="87">
        <v>3446</v>
      </c>
      <c r="C526" s="87" t="s">
        <v>149</v>
      </c>
      <c r="D526" s="102">
        <v>44342</v>
      </c>
      <c r="E526" s="87">
        <v>2600</v>
      </c>
      <c r="F526" s="87" t="s">
        <v>8</v>
      </c>
      <c r="G526" s="87" t="s">
        <v>272</v>
      </c>
      <c r="H526" s="102">
        <v>44342</v>
      </c>
    </row>
    <row r="527" spans="1:9">
      <c r="A527" s="87" t="s">
        <v>73</v>
      </c>
      <c r="B527" s="87">
        <v>1641</v>
      </c>
      <c r="C527" s="87" t="s">
        <v>99</v>
      </c>
      <c r="D527" s="102">
        <v>44342</v>
      </c>
      <c r="E527" s="87">
        <v>3500</v>
      </c>
      <c r="F527" s="87" t="s">
        <v>112</v>
      </c>
      <c r="G527" s="87" t="s">
        <v>272</v>
      </c>
      <c r="H527" s="102">
        <v>44342</v>
      </c>
    </row>
    <row r="528" spans="1:9">
      <c r="A528" s="87" t="s">
        <v>73</v>
      </c>
      <c r="B528" s="87">
        <v>1642</v>
      </c>
      <c r="C528" s="87" t="s">
        <v>80</v>
      </c>
      <c r="D528" s="102">
        <v>44342</v>
      </c>
      <c r="E528" s="87">
        <v>1600</v>
      </c>
      <c r="F528" s="87" t="s">
        <v>3</v>
      </c>
      <c r="G528" s="87" t="s">
        <v>272</v>
      </c>
      <c r="H528" s="102">
        <v>44342</v>
      </c>
    </row>
    <row r="529" spans="1:9">
      <c r="A529" s="87" t="s">
        <v>73</v>
      </c>
      <c r="B529" s="87">
        <v>1643</v>
      </c>
      <c r="C529" s="87" t="s">
        <v>96</v>
      </c>
      <c r="D529" s="102">
        <v>44342</v>
      </c>
      <c r="E529" s="87">
        <v>3500</v>
      </c>
      <c r="F529" s="87" t="s">
        <v>112</v>
      </c>
      <c r="G529" s="87" t="s">
        <v>272</v>
      </c>
      <c r="H529" s="102">
        <v>44342</v>
      </c>
    </row>
    <row r="530" spans="1:9">
      <c r="A530" s="87" t="s">
        <v>115</v>
      </c>
      <c r="B530" s="87">
        <v>3447</v>
      </c>
      <c r="C530" s="87" t="s">
        <v>148</v>
      </c>
      <c r="D530" s="102">
        <v>44342</v>
      </c>
      <c r="E530" s="87">
        <v>4100</v>
      </c>
      <c r="F530" s="87" t="s">
        <v>166</v>
      </c>
      <c r="G530" s="87" t="s">
        <v>272</v>
      </c>
      <c r="H530" s="102">
        <v>44342</v>
      </c>
    </row>
    <row r="531" spans="1:9">
      <c r="A531" s="87" t="s">
        <v>115</v>
      </c>
      <c r="B531" s="87">
        <v>3448</v>
      </c>
      <c r="C531" s="87" t="s">
        <v>138</v>
      </c>
      <c r="D531" s="102">
        <v>44342</v>
      </c>
      <c r="E531" s="87">
        <v>2700</v>
      </c>
      <c r="F531" s="87" t="s">
        <v>135</v>
      </c>
      <c r="G531" s="87" t="s">
        <v>272</v>
      </c>
      <c r="H531" s="102">
        <v>44342</v>
      </c>
    </row>
    <row r="532" spans="1:9">
      <c r="A532" s="87" t="s">
        <v>73</v>
      </c>
      <c r="B532" s="87">
        <v>1644</v>
      </c>
      <c r="C532" s="87" t="s">
        <v>79</v>
      </c>
      <c r="D532" s="102">
        <v>44342</v>
      </c>
      <c r="E532" s="87">
        <v>1600</v>
      </c>
      <c r="F532" s="87" t="s">
        <v>3</v>
      </c>
      <c r="G532" s="87" t="s">
        <v>272</v>
      </c>
      <c r="H532" s="102">
        <v>44342</v>
      </c>
    </row>
    <row r="533" spans="1:9">
      <c r="A533" s="87" t="s">
        <v>73</v>
      </c>
      <c r="B533" s="87">
        <v>1645</v>
      </c>
      <c r="C533" s="87" t="s">
        <v>106</v>
      </c>
      <c r="D533" s="102">
        <v>44342</v>
      </c>
      <c r="E533" s="87">
        <v>2700</v>
      </c>
      <c r="F533" s="87" t="s">
        <v>107</v>
      </c>
      <c r="G533" s="87" t="s">
        <v>272</v>
      </c>
      <c r="H533" s="102">
        <v>44342</v>
      </c>
    </row>
    <row r="534" spans="1:9">
      <c r="A534" s="87" t="s">
        <v>115</v>
      </c>
      <c r="B534" s="87">
        <v>3449</v>
      </c>
      <c r="C534" s="87" t="s">
        <v>237</v>
      </c>
      <c r="D534" s="102">
        <v>44342</v>
      </c>
      <c r="E534" s="87">
        <v>3600</v>
      </c>
      <c r="F534" s="87" t="s">
        <v>238</v>
      </c>
      <c r="G534" s="87" t="s">
        <v>272</v>
      </c>
      <c r="H534" s="102">
        <v>44342</v>
      </c>
    </row>
    <row r="535" spans="1:9">
      <c r="A535" s="87" t="s">
        <v>115</v>
      </c>
      <c r="B535" s="87">
        <v>3450</v>
      </c>
      <c r="C535" s="87" t="s">
        <v>146</v>
      </c>
      <c r="D535" s="102">
        <v>44342</v>
      </c>
      <c r="E535" s="87">
        <v>2000</v>
      </c>
      <c r="F535" s="87" t="s">
        <v>135</v>
      </c>
      <c r="G535" s="87" t="s">
        <v>272</v>
      </c>
      <c r="H535" s="102">
        <v>44342</v>
      </c>
      <c r="I535" t="s">
        <v>274</v>
      </c>
    </row>
    <row r="536" spans="1:9">
      <c r="A536" s="87" t="s">
        <v>73</v>
      </c>
      <c r="B536" s="87">
        <v>1646</v>
      </c>
      <c r="C536" s="87" t="s">
        <v>110</v>
      </c>
      <c r="D536" s="102">
        <v>44342</v>
      </c>
      <c r="E536" s="87">
        <v>2700</v>
      </c>
      <c r="F536" s="87" t="s">
        <v>107</v>
      </c>
      <c r="G536" s="87" t="s">
        <v>272</v>
      </c>
      <c r="H536" s="102">
        <v>44342</v>
      </c>
    </row>
    <row r="537" spans="1:9">
      <c r="A537" s="87" t="s">
        <v>115</v>
      </c>
      <c r="B537" s="87">
        <v>3451</v>
      </c>
      <c r="C537" s="87" t="s">
        <v>127</v>
      </c>
      <c r="D537" s="102">
        <v>44342</v>
      </c>
      <c r="E537" s="87">
        <v>5500</v>
      </c>
      <c r="F537" s="87" t="s">
        <v>157</v>
      </c>
      <c r="G537" s="87" t="s">
        <v>272</v>
      </c>
      <c r="H537" s="102">
        <v>44342</v>
      </c>
    </row>
    <row r="538" spans="1:9">
      <c r="A538" s="87" t="s">
        <v>73</v>
      </c>
      <c r="B538" s="87">
        <v>1647</v>
      </c>
      <c r="C538" s="87" t="s">
        <v>275</v>
      </c>
      <c r="D538" s="102">
        <v>44376</v>
      </c>
      <c r="E538" s="139">
        <v>5000</v>
      </c>
      <c r="F538" s="87" t="s">
        <v>89</v>
      </c>
      <c r="G538" s="87" t="s">
        <v>276</v>
      </c>
      <c r="H538" s="102">
        <v>44376</v>
      </c>
    </row>
    <row r="539" spans="1:9">
      <c r="A539" s="87" t="s">
        <v>73</v>
      </c>
      <c r="B539" s="87">
        <v>1648</v>
      </c>
      <c r="C539" s="87" t="s">
        <v>109</v>
      </c>
      <c r="D539" s="102">
        <v>44376</v>
      </c>
      <c r="E539" s="87">
        <v>2700</v>
      </c>
      <c r="F539" s="87" t="s">
        <v>91</v>
      </c>
      <c r="G539" s="87" t="s">
        <v>276</v>
      </c>
      <c r="H539" s="102">
        <v>44376</v>
      </c>
    </row>
    <row r="540" spans="1:9">
      <c r="A540" s="87" t="s">
        <v>73</v>
      </c>
      <c r="B540" s="87">
        <v>1649</v>
      </c>
      <c r="C540" s="87" t="s">
        <v>87</v>
      </c>
      <c r="D540" s="102">
        <v>44376</v>
      </c>
      <c r="E540" s="139">
        <v>1100</v>
      </c>
      <c r="F540" s="87" t="s">
        <v>91</v>
      </c>
      <c r="G540" s="87" t="s">
        <v>276</v>
      </c>
      <c r="H540" s="102">
        <v>44376</v>
      </c>
    </row>
    <row r="541" spans="1:9">
      <c r="A541" s="87" t="s">
        <v>73</v>
      </c>
      <c r="B541" s="87">
        <v>1650</v>
      </c>
      <c r="C541" s="87" t="s">
        <v>207</v>
      </c>
      <c r="D541" s="102">
        <v>44376</v>
      </c>
      <c r="E541" s="87">
        <v>8000</v>
      </c>
      <c r="F541" s="87" t="s">
        <v>93</v>
      </c>
      <c r="G541" s="87" t="s">
        <v>276</v>
      </c>
      <c r="H541" s="102">
        <v>44376</v>
      </c>
    </row>
    <row r="542" spans="1:9">
      <c r="A542" s="87" t="s">
        <v>73</v>
      </c>
      <c r="B542" s="87">
        <v>1651</v>
      </c>
      <c r="C542" s="87" t="s">
        <v>81</v>
      </c>
      <c r="D542" s="102">
        <v>44376</v>
      </c>
      <c r="E542" s="87">
        <v>1800</v>
      </c>
      <c r="F542" s="87" t="s">
        <v>92</v>
      </c>
      <c r="G542" s="87" t="s">
        <v>276</v>
      </c>
      <c r="H542" s="102">
        <v>44376</v>
      </c>
    </row>
    <row r="543" spans="1:9">
      <c r="A543" s="87" t="s">
        <v>73</v>
      </c>
      <c r="B543" s="87">
        <v>1652</v>
      </c>
      <c r="C543" s="87" t="s">
        <v>99</v>
      </c>
      <c r="D543" s="102">
        <v>44376</v>
      </c>
      <c r="E543" s="87">
        <v>3500</v>
      </c>
      <c r="F543" s="87" t="s">
        <v>112</v>
      </c>
      <c r="G543" s="87" t="s">
        <v>276</v>
      </c>
      <c r="H543" s="102">
        <v>44376</v>
      </c>
    </row>
    <row r="544" spans="1:9">
      <c r="A544" s="87" t="s">
        <v>73</v>
      </c>
      <c r="B544" s="87">
        <v>1653</v>
      </c>
      <c r="C544" s="87" t="s">
        <v>80</v>
      </c>
      <c r="D544" s="102">
        <v>44376</v>
      </c>
      <c r="E544" s="87">
        <v>1600</v>
      </c>
      <c r="F544" s="87" t="s">
        <v>3</v>
      </c>
      <c r="G544" s="87" t="s">
        <v>276</v>
      </c>
      <c r="H544" s="102">
        <v>44376</v>
      </c>
    </row>
    <row r="545" spans="1:10">
      <c r="A545" s="87" t="s">
        <v>73</v>
      </c>
      <c r="B545" s="87">
        <v>1654</v>
      </c>
      <c r="C545" s="87" t="s">
        <v>96</v>
      </c>
      <c r="D545" s="102">
        <v>44376</v>
      </c>
      <c r="E545" s="87">
        <v>3500</v>
      </c>
      <c r="F545" s="87" t="s">
        <v>112</v>
      </c>
      <c r="G545" s="87" t="s">
        <v>276</v>
      </c>
      <c r="H545" s="102">
        <v>44376</v>
      </c>
    </row>
    <row r="546" spans="1:10">
      <c r="A546" s="87" t="s">
        <v>73</v>
      </c>
      <c r="B546" s="87">
        <v>1655</v>
      </c>
      <c r="C546" s="87" t="s">
        <v>79</v>
      </c>
      <c r="D546" s="102">
        <v>44376</v>
      </c>
      <c r="E546" s="87">
        <v>1600</v>
      </c>
      <c r="F546" s="87" t="s">
        <v>3</v>
      </c>
      <c r="G546" s="87" t="s">
        <v>276</v>
      </c>
      <c r="H546" s="102">
        <v>44376</v>
      </c>
    </row>
    <row r="547" spans="1:10">
      <c r="A547" s="87" t="s">
        <v>73</v>
      </c>
      <c r="B547" s="87">
        <v>1656</v>
      </c>
      <c r="C547" s="87" t="s">
        <v>106</v>
      </c>
      <c r="D547" s="102">
        <v>44375</v>
      </c>
      <c r="E547" s="87">
        <v>2700</v>
      </c>
      <c r="F547" s="87" t="s">
        <v>107</v>
      </c>
      <c r="G547" s="87" t="s">
        <v>276</v>
      </c>
      <c r="H547" s="102">
        <v>44375</v>
      </c>
    </row>
    <row r="548" spans="1:10">
      <c r="A548" s="87" t="s">
        <v>73</v>
      </c>
      <c r="B548" s="87">
        <v>1657</v>
      </c>
      <c r="C548" s="87" t="s">
        <v>110</v>
      </c>
      <c r="D548" s="102">
        <v>44375</v>
      </c>
      <c r="E548" s="87">
        <v>2700</v>
      </c>
      <c r="F548" s="87" t="s">
        <v>107</v>
      </c>
      <c r="G548" s="87" t="s">
        <v>276</v>
      </c>
      <c r="H548" s="102">
        <v>44375</v>
      </c>
    </row>
    <row r="549" spans="1:10">
      <c r="A549" s="87" t="s">
        <v>115</v>
      </c>
      <c r="B549" s="87">
        <v>3452</v>
      </c>
      <c r="C549" s="87" t="s">
        <v>170</v>
      </c>
      <c r="D549" s="102">
        <v>44376</v>
      </c>
      <c r="E549" s="139">
        <v>3200</v>
      </c>
      <c r="F549" s="87" t="s">
        <v>161</v>
      </c>
      <c r="G549" s="87" t="s">
        <v>276</v>
      </c>
      <c r="H549" s="102">
        <v>44376</v>
      </c>
    </row>
    <row r="550" spans="1:10">
      <c r="A550" s="87" t="s">
        <v>115</v>
      </c>
      <c r="B550" s="87">
        <v>3454</v>
      </c>
      <c r="C550" s="87" t="s">
        <v>131</v>
      </c>
      <c r="D550" s="102">
        <v>44376</v>
      </c>
      <c r="E550" s="139">
        <v>1100</v>
      </c>
      <c r="F550" s="87" t="s">
        <v>142</v>
      </c>
      <c r="G550" s="87" t="s">
        <v>276</v>
      </c>
      <c r="H550" s="102">
        <v>44376</v>
      </c>
    </row>
    <row r="551" spans="1:10">
      <c r="A551" s="87" t="s">
        <v>115</v>
      </c>
      <c r="B551" s="87">
        <v>3455</v>
      </c>
      <c r="C551" s="87" t="s">
        <v>128</v>
      </c>
      <c r="D551" s="102">
        <v>44376</v>
      </c>
      <c r="E551" s="139">
        <v>9200</v>
      </c>
      <c r="F551" s="87" t="s">
        <v>142</v>
      </c>
      <c r="G551" s="87" t="s">
        <v>276</v>
      </c>
      <c r="H551" s="102">
        <v>44376</v>
      </c>
    </row>
    <row r="552" spans="1:10">
      <c r="A552" s="94" t="s">
        <v>115</v>
      </c>
      <c r="B552" s="94">
        <v>3456</v>
      </c>
      <c r="C552" s="94" t="s">
        <v>134</v>
      </c>
      <c r="D552" s="95">
        <v>44376</v>
      </c>
      <c r="E552" s="94">
        <v>3100</v>
      </c>
      <c r="F552" s="94" t="s">
        <v>135</v>
      </c>
      <c r="G552" s="94" t="s">
        <v>276</v>
      </c>
      <c r="H552" s="95">
        <v>44376</v>
      </c>
    </row>
    <row r="553" spans="1:10">
      <c r="A553" s="87" t="s">
        <v>115</v>
      </c>
      <c r="B553" s="87">
        <v>3457</v>
      </c>
      <c r="C553" s="87" t="s">
        <v>147</v>
      </c>
      <c r="D553" s="102">
        <v>44376</v>
      </c>
      <c r="E553" s="139">
        <v>5400</v>
      </c>
      <c r="F553" s="87" t="s">
        <v>89</v>
      </c>
      <c r="G553" s="87" t="s">
        <v>276</v>
      </c>
      <c r="H553" s="102">
        <v>44376</v>
      </c>
    </row>
    <row r="554" spans="1:10">
      <c r="A554" s="87" t="s">
        <v>115</v>
      </c>
      <c r="B554" s="87">
        <v>3458</v>
      </c>
      <c r="C554" s="87" t="s">
        <v>130</v>
      </c>
      <c r="D554" s="102">
        <v>44376</v>
      </c>
      <c r="E554" s="139">
        <v>1500</v>
      </c>
      <c r="F554" s="87" t="s">
        <v>142</v>
      </c>
      <c r="G554" s="87" t="s">
        <v>276</v>
      </c>
      <c r="H554" s="102">
        <v>44376</v>
      </c>
      <c r="J554" t="s">
        <v>277</v>
      </c>
    </row>
    <row r="555" spans="1:10">
      <c r="A555" s="87" t="s">
        <v>115</v>
      </c>
      <c r="B555" s="87">
        <v>3461</v>
      </c>
      <c r="C555" s="118" t="s">
        <v>152</v>
      </c>
      <c r="D555" s="102">
        <v>44376</v>
      </c>
      <c r="E555" s="87">
        <v>3500</v>
      </c>
      <c r="F555" s="87" t="s">
        <v>164</v>
      </c>
      <c r="G555" s="87" t="s">
        <v>276</v>
      </c>
      <c r="H555" s="102">
        <v>44376</v>
      </c>
    </row>
    <row r="556" spans="1:10">
      <c r="A556" s="87" t="s">
        <v>115</v>
      </c>
      <c r="B556" s="87">
        <v>3462</v>
      </c>
      <c r="C556" s="87" t="s">
        <v>129</v>
      </c>
      <c r="D556" s="102">
        <v>44376</v>
      </c>
      <c r="E556" s="139">
        <v>500</v>
      </c>
      <c r="F556" s="87" t="s">
        <v>142</v>
      </c>
      <c r="G556" s="87" t="s">
        <v>276</v>
      </c>
      <c r="H556" s="102">
        <v>44376</v>
      </c>
    </row>
    <row r="557" spans="1:10">
      <c r="A557" s="94" t="s">
        <v>115</v>
      </c>
      <c r="B557" s="94">
        <v>3463</v>
      </c>
      <c r="C557" s="94" t="s">
        <v>132</v>
      </c>
      <c r="D557" s="95">
        <v>44376</v>
      </c>
      <c r="E557" s="94">
        <v>3800</v>
      </c>
      <c r="F557" s="94" t="s">
        <v>135</v>
      </c>
      <c r="G557" s="94" t="s">
        <v>276</v>
      </c>
      <c r="H557" s="95">
        <v>44376</v>
      </c>
      <c r="I557" t="s">
        <v>278</v>
      </c>
    </row>
    <row r="558" spans="1:10">
      <c r="A558" s="87" t="s">
        <v>115</v>
      </c>
      <c r="B558" s="87">
        <v>3464</v>
      </c>
      <c r="C558" s="87" t="s">
        <v>141</v>
      </c>
      <c r="D558" s="102">
        <v>44376</v>
      </c>
      <c r="E558" s="87">
        <v>1900</v>
      </c>
      <c r="F558" s="87" t="s">
        <v>142</v>
      </c>
      <c r="G558" s="87" t="s">
        <v>276</v>
      </c>
      <c r="H558" s="102">
        <v>44376</v>
      </c>
    </row>
    <row r="559" spans="1:10">
      <c r="A559" s="87" t="s">
        <v>115</v>
      </c>
      <c r="B559" s="87">
        <v>3465</v>
      </c>
      <c r="C559" s="87" t="s">
        <v>137</v>
      </c>
      <c r="D559" s="102">
        <v>44376</v>
      </c>
      <c r="E559" s="139">
        <v>4000</v>
      </c>
      <c r="F559" s="87" t="s">
        <v>135</v>
      </c>
      <c r="G559" s="87" t="s">
        <v>276</v>
      </c>
      <c r="H559" s="102">
        <v>44376</v>
      </c>
    </row>
    <row r="560" spans="1:10">
      <c r="A560" s="87" t="s">
        <v>115</v>
      </c>
      <c r="B560" s="87">
        <v>3466</v>
      </c>
      <c r="C560" s="87" t="s">
        <v>149</v>
      </c>
      <c r="D560" s="102">
        <v>44376</v>
      </c>
      <c r="E560" s="139">
        <v>2600</v>
      </c>
      <c r="F560" s="87" t="s">
        <v>8</v>
      </c>
      <c r="G560" s="87" t="s">
        <v>276</v>
      </c>
      <c r="H560" s="102">
        <v>44376</v>
      </c>
    </row>
    <row r="561" spans="1:10">
      <c r="A561" s="87" t="s">
        <v>115</v>
      </c>
      <c r="B561" s="87">
        <v>3467</v>
      </c>
      <c r="C561" s="87" t="s">
        <v>148</v>
      </c>
      <c r="D561" s="102">
        <v>44376</v>
      </c>
      <c r="E561" s="139">
        <v>4100</v>
      </c>
      <c r="F561" s="87" t="s">
        <v>166</v>
      </c>
      <c r="G561" s="87" t="s">
        <v>276</v>
      </c>
      <c r="H561" s="102">
        <v>44376</v>
      </c>
    </row>
    <row r="562" spans="1:10">
      <c r="A562" s="87" t="s">
        <v>115</v>
      </c>
      <c r="B562" s="87">
        <v>3468</v>
      </c>
      <c r="C562" s="87" t="s">
        <v>138</v>
      </c>
      <c r="D562" s="102">
        <v>44376</v>
      </c>
      <c r="E562" s="139">
        <v>2700</v>
      </c>
      <c r="F562" s="87" t="s">
        <v>135</v>
      </c>
      <c r="G562" s="87" t="s">
        <v>276</v>
      </c>
      <c r="H562" s="102">
        <v>44376</v>
      </c>
    </row>
    <row r="563" spans="1:10">
      <c r="A563" s="87" t="s">
        <v>115</v>
      </c>
      <c r="B563" s="87">
        <v>3469</v>
      </c>
      <c r="C563" s="87" t="s">
        <v>237</v>
      </c>
      <c r="D563" s="102">
        <v>44376</v>
      </c>
      <c r="E563" s="87">
        <v>3600</v>
      </c>
      <c r="F563" s="87" t="s">
        <v>238</v>
      </c>
      <c r="G563" s="87" t="s">
        <v>276</v>
      </c>
      <c r="H563" s="102">
        <v>44376</v>
      </c>
    </row>
    <row r="564" spans="1:10">
      <c r="A564" s="87" t="s">
        <v>115</v>
      </c>
      <c r="B564" s="87">
        <v>3470</v>
      </c>
      <c r="C564" s="87" t="s">
        <v>146</v>
      </c>
      <c r="D564" s="102">
        <v>44376</v>
      </c>
      <c r="E564" s="139">
        <v>2000</v>
      </c>
      <c r="F564" s="87" t="s">
        <v>135</v>
      </c>
      <c r="G564" s="87" t="s">
        <v>276</v>
      </c>
      <c r="H564" s="102">
        <v>44376</v>
      </c>
      <c r="I564" t="s">
        <v>279</v>
      </c>
    </row>
    <row r="565" spans="1:10">
      <c r="A565" s="87" t="s">
        <v>115</v>
      </c>
      <c r="B565" s="87">
        <v>3472</v>
      </c>
      <c r="C565" s="87" t="s">
        <v>127</v>
      </c>
      <c r="D565" s="102">
        <v>44376</v>
      </c>
      <c r="E565" s="139">
        <v>5500</v>
      </c>
      <c r="F565" s="87" t="s">
        <v>157</v>
      </c>
      <c r="G565" s="87" t="s">
        <v>276</v>
      </c>
      <c r="H565" s="102">
        <v>44376</v>
      </c>
    </row>
    <row r="566" spans="1:10">
      <c r="A566" s="87" t="s">
        <v>115</v>
      </c>
      <c r="B566" s="87">
        <v>3453</v>
      </c>
      <c r="C566" s="87" t="s">
        <v>190</v>
      </c>
      <c r="D566" s="102">
        <v>44376</v>
      </c>
      <c r="E566" s="87">
        <f>2100*3</f>
        <v>6300</v>
      </c>
      <c r="F566" s="87" t="s">
        <v>8</v>
      </c>
      <c r="G566" s="87" t="s">
        <v>266</v>
      </c>
      <c r="H566" s="102">
        <v>44376</v>
      </c>
      <c r="J566" t="s">
        <v>280</v>
      </c>
    </row>
    <row r="567" spans="1:10">
      <c r="A567" s="87" t="s">
        <v>73</v>
      </c>
      <c r="B567" s="87">
        <v>1658</v>
      </c>
      <c r="C567" s="87" t="s">
        <v>77</v>
      </c>
      <c r="D567" s="102">
        <v>44376</v>
      </c>
      <c r="E567" s="139">
        <v>2500</v>
      </c>
      <c r="F567" s="87" t="s">
        <v>91</v>
      </c>
      <c r="G567" s="87" t="s">
        <v>266</v>
      </c>
      <c r="H567" s="102">
        <v>44376</v>
      </c>
    </row>
    <row r="568" spans="1:10">
      <c r="A568" s="87" t="s">
        <v>115</v>
      </c>
      <c r="B568" s="87">
        <v>3473</v>
      </c>
      <c r="C568" s="87" t="s">
        <v>140</v>
      </c>
      <c r="D568" s="102">
        <v>44377</v>
      </c>
      <c r="E568" s="87">
        <f>(1600*3)+(3500*3)+(1500*3)</f>
        <v>19800</v>
      </c>
      <c r="F568" s="87" t="s">
        <v>25</v>
      </c>
      <c r="G568" s="87" t="s">
        <v>266</v>
      </c>
      <c r="H568" s="102">
        <v>44377</v>
      </c>
      <c r="I568" t="s">
        <v>281</v>
      </c>
    </row>
    <row r="569" spans="1:10">
      <c r="A569" s="87" t="s">
        <v>73</v>
      </c>
      <c r="B569" s="87">
        <v>1660</v>
      </c>
      <c r="C569" s="87" t="s">
        <v>140</v>
      </c>
      <c r="D569" s="102">
        <v>44377</v>
      </c>
      <c r="E569" s="87">
        <f>(3500*3)+(1000*3)</f>
        <v>13500</v>
      </c>
      <c r="F569" s="87" t="s">
        <v>25</v>
      </c>
      <c r="G569" s="87" t="s">
        <v>266</v>
      </c>
      <c r="H569" s="102">
        <v>44377</v>
      </c>
      <c r="I569" t="s">
        <v>246</v>
      </c>
    </row>
    <row r="570" spans="1:10">
      <c r="A570" s="94" t="s">
        <v>115</v>
      </c>
      <c r="B570" s="94">
        <v>3474</v>
      </c>
      <c r="C570" s="151" t="s">
        <v>214</v>
      </c>
      <c r="D570" s="95">
        <v>44377</v>
      </c>
      <c r="E570" s="94">
        <v>2500</v>
      </c>
      <c r="F570" s="94" t="s">
        <v>215</v>
      </c>
      <c r="G570" s="94" t="s">
        <v>266</v>
      </c>
      <c r="H570" s="95">
        <v>44377</v>
      </c>
      <c r="I570" t="s">
        <v>282</v>
      </c>
    </row>
    <row r="571" spans="1:10">
      <c r="A571" s="87" t="s">
        <v>73</v>
      </c>
      <c r="B571" s="87">
        <v>1661</v>
      </c>
      <c r="C571" s="87" t="s">
        <v>86</v>
      </c>
      <c r="D571" s="102">
        <v>44377</v>
      </c>
      <c r="E571" s="87">
        <v>4800</v>
      </c>
      <c r="F571" s="87" t="s">
        <v>8</v>
      </c>
      <c r="G571" s="87" t="s">
        <v>266</v>
      </c>
      <c r="H571" s="102">
        <v>44377</v>
      </c>
    </row>
    <row r="572" spans="1:10">
      <c r="A572" s="87" t="s">
        <v>250</v>
      </c>
      <c r="B572" s="87" t="s">
        <v>283</v>
      </c>
      <c r="C572" s="87" t="s">
        <v>140</v>
      </c>
      <c r="D572" s="102">
        <v>44403</v>
      </c>
      <c r="E572" s="87">
        <v>10000</v>
      </c>
      <c r="F572" s="87" t="s">
        <v>25</v>
      </c>
      <c r="G572" s="99" t="s">
        <v>284</v>
      </c>
    </row>
    <row r="573" spans="1:10">
      <c r="A573" s="87" t="s">
        <v>115</v>
      </c>
      <c r="B573" s="87">
        <v>3475</v>
      </c>
      <c r="C573" s="87" t="s">
        <v>170</v>
      </c>
      <c r="D573" s="102">
        <v>44405</v>
      </c>
      <c r="E573" s="87">
        <v>3200</v>
      </c>
      <c r="F573" s="87" t="s">
        <v>161</v>
      </c>
      <c r="G573" s="87" t="s">
        <v>285</v>
      </c>
      <c r="H573" s="102">
        <v>44405</v>
      </c>
    </row>
    <row r="574" spans="1:10">
      <c r="A574" s="87" t="s">
        <v>115</v>
      </c>
      <c r="B574" s="87">
        <v>3476</v>
      </c>
      <c r="C574" s="87" t="s">
        <v>131</v>
      </c>
      <c r="D574" s="102">
        <v>44405</v>
      </c>
      <c r="E574" s="87">
        <v>1100</v>
      </c>
      <c r="F574" s="87" t="s">
        <v>142</v>
      </c>
      <c r="G574" s="87" t="s">
        <v>285</v>
      </c>
      <c r="H574" s="102">
        <v>44405</v>
      </c>
    </row>
    <row r="575" spans="1:10">
      <c r="A575" s="87" t="s">
        <v>115</v>
      </c>
      <c r="B575" s="87">
        <v>3477</v>
      </c>
      <c r="C575" s="87" t="s">
        <v>128</v>
      </c>
      <c r="D575" s="102">
        <v>44405</v>
      </c>
      <c r="E575" s="87">
        <f>10200+1000</f>
        <v>11200</v>
      </c>
      <c r="F575" s="87" t="s">
        <v>142</v>
      </c>
      <c r="G575" s="87" t="s">
        <v>285</v>
      </c>
      <c r="H575" s="102">
        <v>44405</v>
      </c>
      <c r="J575" t="s">
        <v>286</v>
      </c>
    </row>
    <row r="576" spans="1:10">
      <c r="A576" s="94" t="s">
        <v>115</v>
      </c>
      <c r="B576" s="94">
        <v>3478</v>
      </c>
      <c r="C576" s="94" t="s">
        <v>134</v>
      </c>
      <c r="D576" s="95">
        <v>44405</v>
      </c>
      <c r="E576" s="94">
        <v>3100</v>
      </c>
      <c r="F576" s="94" t="s">
        <v>135</v>
      </c>
      <c r="G576" s="94" t="s">
        <v>285</v>
      </c>
      <c r="H576" s="95">
        <v>44405</v>
      </c>
    </row>
    <row r="577" spans="1:9">
      <c r="A577" s="87" t="s">
        <v>115</v>
      </c>
      <c r="B577" s="87">
        <v>3479</v>
      </c>
      <c r="C577" s="87" t="s">
        <v>147</v>
      </c>
      <c r="D577" s="102">
        <v>44405</v>
      </c>
      <c r="E577" s="87">
        <v>5400</v>
      </c>
      <c r="F577" s="87" t="s">
        <v>89</v>
      </c>
      <c r="G577" s="87" t="s">
        <v>285</v>
      </c>
      <c r="H577" s="102">
        <v>44405</v>
      </c>
    </row>
    <row r="578" spans="1:9">
      <c r="A578" s="87" t="s">
        <v>115</v>
      </c>
      <c r="B578" s="87">
        <v>3480</v>
      </c>
      <c r="C578" s="87" t="s">
        <v>130</v>
      </c>
      <c r="D578" s="102">
        <v>44405</v>
      </c>
      <c r="E578" s="87">
        <v>1500</v>
      </c>
      <c r="F578" s="87" t="s">
        <v>142</v>
      </c>
      <c r="G578" s="87" t="s">
        <v>285</v>
      </c>
      <c r="H578" s="102">
        <v>44405</v>
      </c>
    </row>
    <row r="579" spans="1:9">
      <c r="A579" s="87" t="s">
        <v>115</v>
      </c>
      <c r="B579" s="87">
        <v>3481</v>
      </c>
      <c r="C579" s="137" t="s">
        <v>152</v>
      </c>
      <c r="D579" s="102">
        <v>44405</v>
      </c>
      <c r="E579" s="87">
        <v>3500</v>
      </c>
      <c r="F579" s="87" t="s">
        <v>164</v>
      </c>
      <c r="G579" s="87" t="s">
        <v>285</v>
      </c>
      <c r="H579" s="102">
        <v>44405</v>
      </c>
    </row>
    <row r="580" spans="1:9">
      <c r="A580" s="87" t="s">
        <v>115</v>
      </c>
      <c r="B580" s="87">
        <v>3482</v>
      </c>
      <c r="C580" s="87" t="s">
        <v>129</v>
      </c>
      <c r="D580" s="102">
        <v>44405</v>
      </c>
      <c r="E580" s="87">
        <v>500</v>
      </c>
      <c r="F580" s="87" t="s">
        <v>142</v>
      </c>
      <c r="G580" s="87" t="s">
        <v>285</v>
      </c>
      <c r="H580" s="102">
        <v>44405</v>
      </c>
    </row>
    <row r="581" spans="1:9">
      <c r="A581" s="94" t="s">
        <v>115</v>
      </c>
      <c r="B581" s="94">
        <v>3483</v>
      </c>
      <c r="C581" s="94" t="s">
        <v>132</v>
      </c>
      <c r="D581" s="95">
        <v>44405</v>
      </c>
      <c r="E581" s="94">
        <v>3800</v>
      </c>
      <c r="F581" s="94" t="s">
        <v>135</v>
      </c>
      <c r="G581" s="94" t="s">
        <v>285</v>
      </c>
      <c r="H581" s="95">
        <v>44405</v>
      </c>
      <c r="I581" t="s">
        <v>287</v>
      </c>
    </row>
    <row r="582" spans="1:9">
      <c r="A582" s="87" t="s">
        <v>115</v>
      </c>
      <c r="B582" s="87">
        <v>3484</v>
      </c>
      <c r="C582" s="87" t="s">
        <v>141</v>
      </c>
      <c r="D582" s="102">
        <v>44405</v>
      </c>
      <c r="E582" s="87">
        <v>1900</v>
      </c>
      <c r="F582" s="87" t="s">
        <v>142</v>
      </c>
      <c r="G582" s="87" t="s">
        <v>285</v>
      </c>
      <c r="H582" s="102">
        <v>44405</v>
      </c>
    </row>
    <row r="583" spans="1:9">
      <c r="A583" s="87" t="s">
        <v>115</v>
      </c>
      <c r="B583" s="87">
        <v>3485</v>
      </c>
      <c r="C583" s="87" t="s">
        <v>137</v>
      </c>
      <c r="D583" s="102">
        <v>44405</v>
      </c>
      <c r="E583" s="87">
        <v>4000</v>
      </c>
      <c r="F583" s="87" t="s">
        <v>135</v>
      </c>
      <c r="G583" s="87" t="s">
        <v>285</v>
      </c>
      <c r="H583" s="102">
        <v>44405</v>
      </c>
    </row>
    <row r="584" spans="1:9">
      <c r="A584" s="87" t="s">
        <v>115</v>
      </c>
      <c r="B584" s="87">
        <v>3486</v>
      </c>
      <c r="C584" s="87" t="s">
        <v>149</v>
      </c>
      <c r="D584" s="102">
        <v>44405</v>
      </c>
      <c r="E584" s="87">
        <v>2600</v>
      </c>
      <c r="F584" s="87" t="s">
        <v>8</v>
      </c>
      <c r="G584" s="87" t="s">
        <v>285</v>
      </c>
      <c r="H584" s="102">
        <v>44405</v>
      </c>
    </row>
    <row r="585" spans="1:9">
      <c r="A585" s="87" t="s">
        <v>115</v>
      </c>
      <c r="B585" s="87">
        <v>3487</v>
      </c>
      <c r="C585" s="87" t="s">
        <v>148</v>
      </c>
      <c r="D585" s="102">
        <v>44405</v>
      </c>
      <c r="E585" s="87">
        <v>4100</v>
      </c>
      <c r="F585" s="87" t="s">
        <v>166</v>
      </c>
      <c r="G585" s="87" t="s">
        <v>285</v>
      </c>
      <c r="H585" s="102">
        <v>44405</v>
      </c>
    </row>
    <row r="586" spans="1:9">
      <c r="A586" s="87" t="s">
        <v>115</v>
      </c>
      <c r="B586" s="87">
        <v>3488</v>
      </c>
      <c r="C586" s="87" t="s">
        <v>138</v>
      </c>
      <c r="D586" s="102">
        <v>44405</v>
      </c>
      <c r="E586" s="87">
        <v>2700</v>
      </c>
      <c r="F586" s="87" t="s">
        <v>135</v>
      </c>
      <c r="G586" s="87" t="s">
        <v>285</v>
      </c>
      <c r="H586" s="102">
        <v>44405</v>
      </c>
    </row>
    <row r="587" spans="1:9">
      <c r="A587" s="87" t="s">
        <v>115</v>
      </c>
      <c r="B587" s="87">
        <v>3489</v>
      </c>
      <c r="C587" s="87" t="s">
        <v>237</v>
      </c>
      <c r="D587" s="102">
        <v>44405</v>
      </c>
      <c r="E587" s="87">
        <v>3600</v>
      </c>
      <c r="F587" s="87" t="s">
        <v>238</v>
      </c>
      <c r="G587" s="87" t="s">
        <v>285</v>
      </c>
      <c r="H587" s="102">
        <v>44405</v>
      </c>
    </row>
    <row r="588" spans="1:9">
      <c r="A588" s="87" t="s">
        <v>115</v>
      </c>
      <c r="B588" s="87">
        <v>3490</v>
      </c>
      <c r="C588" s="87" t="s">
        <v>146</v>
      </c>
      <c r="D588" s="102">
        <v>44405</v>
      </c>
      <c r="E588" s="87">
        <v>2000</v>
      </c>
      <c r="F588" s="87" t="s">
        <v>135</v>
      </c>
      <c r="G588" s="87" t="s">
        <v>285</v>
      </c>
      <c r="H588" s="102">
        <v>44405</v>
      </c>
      <c r="I588" t="s">
        <v>288</v>
      </c>
    </row>
    <row r="589" spans="1:9">
      <c r="A589" s="87" t="s">
        <v>115</v>
      </c>
      <c r="B589" s="87">
        <v>3491</v>
      </c>
      <c r="C589" s="87" t="s">
        <v>127</v>
      </c>
      <c r="D589" s="102">
        <v>44405</v>
      </c>
      <c r="E589" s="87">
        <v>5500</v>
      </c>
      <c r="F589" s="87" t="s">
        <v>157</v>
      </c>
      <c r="G589" s="87" t="s">
        <v>285</v>
      </c>
      <c r="H589" s="102">
        <v>44405</v>
      </c>
    </row>
    <row r="590" spans="1:9">
      <c r="A590" s="87" t="s">
        <v>115</v>
      </c>
      <c r="B590" s="87">
        <v>3492</v>
      </c>
      <c r="C590" s="87" t="s">
        <v>289</v>
      </c>
      <c r="D590" s="102">
        <v>44406</v>
      </c>
      <c r="E590" s="87">
        <v>6600</v>
      </c>
      <c r="F590" s="87" t="s">
        <v>290</v>
      </c>
      <c r="G590" s="87" t="s">
        <v>249</v>
      </c>
      <c r="H590" s="102">
        <v>44406</v>
      </c>
    </row>
    <row r="591" spans="1:9">
      <c r="A591" s="87" t="s">
        <v>115</v>
      </c>
      <c r="B591" s="87">
        <v>3493</v>
      </c>
      <c r="C591" s="87" t="s">
        <v>289</v>
      </c>
      <c r="D591" s="102">
        <v>44406</v>
      </c>
      <c r="E591" s="87">
        <v>6600</v>
      </c>
      <c r="F591" s="87" t="s">
        <v>290</v>
      </c>
      <c r="G591" s="87" t="s">
        <v>266</v>
      </c>
      <c r="H591" s="102">
        <v>44406</v>
      </c>
    </row>
    <row r="592" spans="1:9">
      <c r="A592" s="87" t="s">
        <v>115</v>
      </c>
      <c r="B592" s="87">
        <v>3494</v>
      </c>
      <c r="C592" s="87" t="s">
        <v>289</v>
      </c>
      <c r="D592" s="102">
        <v>44406</v>
      </c>
      <c r="E592" s="87">
        <v>2200</v>
      </c>
      <c r="F592" s="87" t="s">
        <v>290</v>
      </c>
      <c r="G592" s="87" t="s">
        <v>285</v>
      </c>
      <c r="H592" s="102">
        <v>44406</v>
      </c>
    </row>
    <row r="593" spans="1:10">
      <c r="A593" s="87" t="s">
        <v>73</v>
      </c>
      <c r="B593" s="87">
        <v>1662</v>
      </c>
      <c r="C593" s="87" t="s">
        <v>275</v>
      </c>
      <c r="D593" s="102">
        <v>44406</v>
      </c>
      <c r="E593" s="87">
        <v>5000</v>
      </c>
      <c r="F593" s="87" t="s">
        <v>89</v>
      </c>
      <c r="G593" s="87" t="s">
        <v>285</v>
      </c>
      <c r="H593" s="102">
        <v>44406</v>
      </c>
    </row>
    <row r="594" spans="1:10">
      <c r="A594" s="87" t="s">
        <v>73</v>
      </c>
      <c r="B594" s="87">
        <v>1663</v>
      </c>
      <c r="C594" s="87" t="s">
        <v>109</v>
      </c>
      <c r="D594" s="102">
        <v>44406</v>
      </c>
      <c r="E594" s="87">
        <v>2700</v>
      </c>
      <c r="F594" s="87" t="s">
        <v>91</v>
      </c>
      <c r="G594" s="87" t="s">
        <v>285</v>
      </c>
      <c r="H594" s="102">
        <v>44406</v>
      </c>
    </row>
    <row r="595" spans="1:10">
      <c r="A595" s="87" t="s">
        <v>73</v>
      </c>
      <c r="B595" s="87">
        <v>1664</v>
      </c>
      <c r="C595" s="87" t="s">
        <v>87</v>
      </c>
      <c r="D595" s="102">
        <v>44406</v>
      </c>
      <c r="E595" s="87">
        <v>1100</v>
      </c>
      <c r="F595" s="87" t="s">
        <v>91</v>
      </c>
      <c r="G595" s="87" t="s">
        <v>285</v>
      </c>
      <c r="H595" s="102">
        <v>44406</v>
      </c>
    </row>
    <row r="596" spans="1:10">
      <c r="A596" s="87" t="s">
        <v>73</v>
      </c>
      <c r="B596" s="87">
        <v>1665</v>
      </c>
      <c r="C596" s="87" t="s">
        <v>207</v>
      </c>
      <c r="D596" s="102">
        <v>44406</v>
      </c>
      <c r="E596" s="87">
        <v>9000</v>
      </c>
      <c r="F596" s="87" t="s">
        <v>93</v>
      </c>
      <c r="G596" s="87" t="s">
        <v>285</v>
      </c>
      <c r="H596" s="102">
        <v>44406</v>
      </c>
      <c r="J596" t="s">
        <v>291</v>
      </c>
    </row>
    <row r="597" spans="1:10">
      <c r="A597" s="87" t="s">
        <v>73</v>
      </c>
      <c r="B597" s="87">
        <v>1666</v>
      </c>
      <c r="C597" s="87" t="s">
        <v>81</v>
      </c>
      <c r="D597" s="102">
        <v>44406</v>
      </c>
      <c r="E597" s="87">
        <v>1800</v>
      </c>
      <c r="F597" s="87" t="s">
        <v>92</v>
      </c>
      <c r="G597" s="87" t="s">
        <v>285</v>
      </c>
      <c r="H597" s="102">
        <v>44406</v>
      </c>
    </row>
    <row r="598" spans="1:10">
      <c r="A598" s="87" t="s">
        <v>73</v>
      </c>
      <c r="B598" s="87">
        <v>1667</v>
      </c>
      <c r="C598" s="87" t="s">
        <v>99</v>
      </c>
      <c r="D598" s="102">
        <v>44406</v>
      </c>
      <c r="E598" s="87">
        <v>3500</v>
      </c>
      <c r="F598" s="87" t="s">
        <v>112</v>
      </c>
      <c r="G598" s="87" t="s">
        <v>285</v>
      </c>
      <c r="H598" s="102">
        <v>44406</v>
      </c>
    </row>
    <row r="599" spans="1:10">
      <c r="A599" s="87" t="s">
        <v>73</v>
      </c>
      <c r="B599" s="87">
        <v>1668</v>
      </c>
      <c r="C599" s="87" t="s">
        <v>80</v>
      </c>
      <c r="D599" s="102">
        <v>44406</v>
      </c>
      <c r="E599" s="87">
        <v>1600</v>
      </c>
      <c r="F599" s="87" t="s">
        <v>3</v>
      </c>
      <c r="G599" s="87" t="s">
        <v>285</v>
      </c>
      <c r="H599" s="102">
        <v>44406</v>
      </c>
    </row>
    <row r="600" spans="1:10">
      <c r="A600" s="87" t="s">
        <v>73</v>
      </c>
      <c r="B600" s="87">
        <v>1669</v>
      </c>
      <c r="C600" s="87" t="s">
        <v>96</v>
      </c>
      <c r="D600" s="102">
        <v>44406</v>
      </c>
      <c r="E600" s="87">
        <v>3500</v>
      </c>
      <c r="F600" s="87" t="s">
        <v>112</v>
      </c>
      <c r="G600" s="87" t="s">
        <v>285</v>
      </c>
      <c r="H600" s="102">
        <v>44406</v>
      </c>
    </row>
    <row r="601" spans="1:10">
      <c r="A601" s="87" t="s">
        <v>73</v>
      </c>
      <c r="B601" s="87">
        <v>1670</v>
      </c>
      <c r="C601" s="87" t="s">
        <v>79</v>
      </c>
      <c r="D601" s="102">
        <v>44406</v>
      </c>
      <c r="E601" s="87">
        <v>1600</v>
      </c>
      <c r="F601" s="87" t="s">
        <v>3</v>
      </c>
      <c r="G601" s="87" t="s">
        <v>285</v>
      </c>
      <c r="H601" s="102">
        <v>44406</v>
      </c>
    </row>
    <row r="602" spans="1:10">
      <c r="A602" s="87" t="s">
        <v>73</v>
      </c>
      <c r="B602" s="87">
        <v>1671</v>
      </c>
      <c r="C602" s="87" t="s">
        <v>106</v>
      </c>
      <c r="D602" s="102">
        <v>44406</v>
      </c>
      <c r="E602" s="87">
        <v>2700</v>
      </c>
      <c r="F602" s="87" t="s">
        <v>107</v>
      </c>
      <c r="G602" s="87" t="s">
        <v>285</v>
      </c>
      <c r="H602" s="102">
        <v>44406</v>
      </c>
    </row>
    <row r="603" spans="1:10">
      <c r="A603" s="87" t="s">
        <v>73</v>
      </c>
      <c r="B603" s="87">
        <v>1672</v>
      </c>
      <c r="C603" s="87" t="s">
        <v>110</v>
      </c>
      <c r="D603" s="102">
        <v>44406</v>
      </c>
      <c r="E603" s="87">
        <v>2700</v>
      </c>
      <c r="F603" s="87" t="s">
        <v>107</v>
      </c>
      <c r="G603" s="87" t="s">
        <v>285</v>
      </c>
      <c r="H603" s="102">
        <v>44406</v>
      </c>
    </row>
    <row r="604" spans="1:10">
      <c r="A604" s="87" t="s">
        <v>73</v>
      </c>
      <c r="B604" s="87">
        <v>1673</v>
      </c>
      <c r="C604" s="87" t="s">
        <v>292</v>
      </c>
      <c r="D604" s="102">
        <v>44410</v>
      </c>
      <c r="E604" s="87">
        <v>2700</v>
      </c>
      <c r="F604" s="87" t="s">
        <v>107</v>
      </c>
      <c r="G604" s="87" t="s">
        <v>285</v>
      </c>
      <c r="H604" s="102">
        <v>44410</v>
      </c>
    </row>
    <row r="605" spans="1:10">
      <c r="A605" s="87" t="s">
        <v>115</v>
      </c>
      <c r="B605" s="87">
        <v>3495</v>
      </c>
      <c r="C605" s="87" t="s">
        <v>293</v>
      </c>
      <c r="D605" s="102">
        <v>44414</v>
      </c>
      <c r="E605" s="87">
        <v>9000</v>
      </c>
      <c r="F605" s="87" t="s">
        <v>112</v>
      </c>
      <c r="G605" s="87" t="s">
        <v>294</v>
      </c>
      <c r="H605" s="102">
        <v>44414</v>
      </c>
    </row>
    <row r="606" spans="1:10">
      <c r="A606" s="87" t="s">
        <v>115</v>
      </c>
      <c r="B606" s="87">
        <v>3496</v>
      </c>
      <c r="C606" s="87" t="s">
        <v>170</v>
      </c>
      <c r="D606" s="102">
        <v>44438</v>
      </c>
      <c r="E606" s="87">
        <v>3200</v>
      </c>
      <c r="F606" s="87" t="s">
        <v>161</v>
      </c>
      <c r="G606" s="87" t="s">
        <v>295</v>
      </c>
      <c r="H606" s="102">
        <v>44438</v>
      </c>
    </row>
    <row r="607" spans="1:10">
      <c r="A607" s="87" t="s">
        <v>73</v>
      </c>
      <c r="B607" s="87">
        <v>1674</v>
      </c>
      <c r="C607" s="87" t="s">
        <v>275</v>
      </c>
      <c r="D607" s="102">
        <v>44438</v>
      </c>
      <c r="E607" s="87">
        <v>5000</v>
      </c>
      <c r="F607" s="87" t="s">
        <v>89</v>
      </c>
      <c r="G607" s="87" t="s">
        <v>295</v>
      </c>
      <c r="H607" s="102">
        <v>44438</v>
      </c>
    </row>
    <row r="608" spans="1:10">
      <c r="A608" s="87" t="s">
        <v>115</v>
      </c>
      <c r="B608" s="87">
        <v>3497</v>
      </c>
      <c r="C608" s="87" t="s">
        <v>131</v>
      </c>
      <c r="D608" s="102">
        <v>44438</v>
      </c>
      <c r="E608" s="87">
        <v>1100</v>
      </c>
      <c r="F608" s="87" t="s">
        <v>142</v>
      </c>
      <c r="G608" s="87" t="s">
        <v>295</v>
      </c>
      <c r="H608" s="102">
        <v>44438</v>
      </c>
    </row>
    <row r="609" spans="1:9">
      <c r="A609" s="87" t="s">
        <v>115</v>
      </c>
      <c r="B609" s="87">
        <v>3498</v>
      </c>
      <c r="C609" s="87" t="s">
        <v>128</v>
      </c>
      <c r="D609" s="102">
        <v>44438</v>
      </c>
      <c r="E609" s="87">
        <v>10200</v>
      </c>
      <c r="F609" s="87" t="s">
        <v>142</v>
      </c>
      <c r="G609" s="87" t="s">
        <v>295</v>
      </c>
      <c r="H609" s="102">
        <v>44438</v>
      </c>
    </row>
    <row r="610" spans="1:9">
      <c r="A610" s="94" t="s">
        <v>115</v>
      </c>
      <c r="B610" s="94">
        <v>3499</v>
      </c>
      <c r="C610" s="94" t="s">
        <v>134</v>
      </c>
      <c r="D610" s="95">
        <v>44438</v>
      </c>
      <c r="E610" s="94">
        <v>3100</v>
      </c>
      <c r="F610" s="94" t="s">
        <v>135</v>
      </c>
      <c r="G610" s="94" t="s">
        <v>295</v>
      </c>
      <c r="H610" s="95">
        <v>44438</v>
      </c>
    </row>
    <row r="611" spans="1:9">
      <c r="A611" s="87" t="s">
        <v>73</v>
      </c>
      <c r="B611" s="87">
        <v>1675</v>
      </c>
      <c r="C611" s="87" t="s">
        <v>109</v>
      </c>
      <c r="D611" s="102">
        <v>44438</v>
      </c>
      <c r="E611" s="87">
        <v>2700</v>
      </c>
      <c r="F611" s="87" t="s">
        <v>91</v>
      </c>
      <c r="G611" s="87" t="s">
        <v>295</v>
      </c>
      <c r="H611" s="102">
        <v>44438</v>
      </c>
    </row>
    <row r="612" spans="1:9">
      <c r="A612" s="87" t="s">
        <v>115</v>
      </c>
      <c r="B612" s="87">
        <v>3500</v>
      </c>
      <c r="C612" s="87" t="s">
        <v>147</v>
      </c>
      <c r="D612" s="102">
        <v>44438</v>
      </c>
      <c r="E612" s="87">
        <v>5400</v>
      </c>
      <c r="F612" s="87" t="s">
        <v>89</v>
      </c>
      <c r="G612" s="87" t="s">
        <v>295</v>
      </c>
      <c r="H612" s="102">
        <v>44438</v>
      </c>
    </row>
    <row r="613" spans="1:9">
      <c r="A613" s="87" t="s">
        <v>115</v>
      </c>
      <c r="B613" s="87">
        <v>3501</v>
      </c>
      <c r="C613" s="87" t="s">
        <v>130</v>
      </c>
      <c r="D613" s="102">
        <v>44438</v>
      </c>
      <c r="E613" s="87">
        <v>1500</v>
      </c>
      <c r="F613" s="87" t="s">
        <v>142</v>
      </c>
      <c r="G613" s="87" t="s">
        <v>295</v>
      </c>
      <c r="H613" s="102">
        <v>44438</v>
      </c>
    </row>
    <row r="614" spans="1:9">
      <c r="A614" s="87" t="s">
        <v>115</v>
      </c>
      <c r="B614" s="87">
        <v>3502</v>
      </c>
      <c r="C614" s="137" t="s">
        <v>152</v>
      </c>
      <c r="D614" s="102">
        <v>44438</v>
      </c>
      <c r="E614" s="87">
        <v>3500</v>
      </c>
      <c r="F614" s="87" t="s">
        <v>164</v>
      </c>
      <c r="G614" s="87" t="s">
        <v>295</v>
      </c>
      <c r="H614" s="102">
        <v>44438</v>
      </c>
    </row>
    <row r="615" spans="1:9">
      <c r="A615" s="87" t="s">
        <v>73</v>
      </c>
      <c r="B615" s="87">
        <v>1676</v>
      </c>
      <c r="C615" s="87" t="s">
        <v>87</v>
      </c>
      <c r="D615" s="102">
        <v>44438</v>
      </c>
      <c r="E615" s="87">
        <v>1100</v>
      </c>
      <c r="F615" s="87" t="s">
        <v>91</v>
      </c>
      <c r="G615" s="87" t="s">
        <v>295</v>
      </c>
      <c r="H615" s="102">
        <v>44438</v>
      </c>
    </row>
    <row r="616" spans="1:9">
      <c r="A616" s="87" t="s">
        <v>115</v>
      </c>
      <c r="B616" s="87">
        <v>3503</v>
      </c>
      <c r="C616" s="87" t="s">
        <v>129</v>
      </c>
      <c r="D616" s="102">
        <v>44438</v>
      </c>
      <c r="E616" s="87">
        <v>500</v>
      </c>
      <c r="F616" s="87" t="s">
        <v>142</v>
      </c>
      <c r="G616" s="87" t="s">
        <v>295</v>
      </c>
      <c r="H616" s="102">
        <v>44438</v>
      </c>
    </row>
    <row r="617" spans="1:9">
      <c r="A617" s="94" t="s">
        <v>115</v>
      </c>
      <c r="B617" s="94">
        <v>3504</v>
      </c>
      <c r="C617" s="94" t="s">
        <v>132</v>
      </c>
      <c r="D617" s="95">
        <v>44438</v>
      </c>
      <c r="E617" s="94">
        <v>3800</v>
      </c>
      <c r="F617" s="94" t="s">
        <v>135</v>
      </c>
      <c r="G617" s="94" t="s">
        <v>295</v>
      </c>
      <c r="H617" s="95">
        <v>44438</v>
      </c>
      <c r="I617" t="s">
        <v>296</v>
      </c>
    </row>
    <row r="618" spans="1:9">
      <c r="A618" s="87" t="s">
        <v>115</v>
      </c>
      <c r="B618" s="87">
        <v>3505</v>
      </c>
      <c r="C618" s="87" t="s">
        <v>141</v>
      </c>
      <c r="D618" s="102">
        <v>44438</v>
      </c>
      <c r="E618" s="87">
        <v>1900</v>
      </c>
      <c r="F618" s="87" t="s">
        <v>142</v>
      </c>
      <c r="G618" s="87" t="s">
        <v>295</v>
      </c>
      <c r="H618" s="102">
        <v>44438</v>
      </c>
    </row>
    <row r="619" spans="1:9">
      <c r="A619" s="87" t="s">
        <v>73</v>
      </c>
      <c r="B619" s="87">
        <v>1677</v>
      </c>
      <c r="C619" s="87" t="s">
        <v>207</v>
      </c>
      <c r="D619" s="102">
        <v>44438</v>
      </c>
      <c r="E619" s="87">
        <v>9000</v>
      </c>
      <c r="F619" s="87" t="s">
        <v>93</v>
      </c>
      <c r="G619" s="87" t="s">
        <v>295</v>
      </c>
      <c r="H619" s="102">
        <v>44438</v>
      </c>
    </row>
    <row r="620" spans="1:9">
      <c r="A620" s="87" t="s">
        <v>73</v>
      </c>
      <c r="B620" s="87">
        <v>1678</v>
      </c>
      <c r="C620" s="87" t="s">
        <v>81</v>
      </c>
      <c r="D620" s="102">
        <v>44438</v>
      </c>
      <c r="E620" s="87">
        <v>1800</v>
      </c>
      <c r="F620" s="87" t="s">
        <v>92</v>
      </c>
      <c r="G620" s="87" t="s">
        <v>295</v>
      </c>
      <c r="H620" s="102">
        <v>44438</v>
      </c>
    </row>
    <row r="621" spans="1:9">
      <c r="A621" s="87" t="s">
        <v>115</v>
      </c>
      <c r="B621" s="87">
        <v>3506</v>
      </c>
      <c r="C621" s="87" t="s">
        <v>137</v>
      </c>
      <c r="D621" s="102">
        <v>44438</v>
      </c>
      <c r="E621" s="87">
        <v>4000</v>
      </c>
      <c r="F621" s="87" t="s">
        <v>135</v>
      </c>
      <c r="G621" s="87" t="s">
        <v>295</v>
      </c>
      <c r="H621" s="102">
        <v>44438</v>
      </c>
    </row>
    <row r="622" spans="1:9">
      <c r="A622" s="87" t="s">
        <v>115</v>
      </c>
      <c r="B622" s="87">
        <v>3507</v>
      </c>
      <c r="C622" s="87" t="s">
        <v>149</v>
      </c>
      <c r="D622" s="102">
        <v>44438</v>
      </c>
      <c r="E622" s="87">
        <v>2600</v>
      </c>
      <c r="F622" s="87" t="s">
        <v>8</v>
      </c>
      <c r="G622" s="87" t="s">
        <v>295</v>
      </c>
      <c r="H622" s="102">
        <v>44438</v>
      </c>
    </row>
    <row r="623" spans="1:9">
      <c r="A623" s="87" t="s">
        <v>73</v>
      </c>
      <c r="B623" s="87">
        <v>1679</v>
      </c>
      <c r="C623" s="87" t="s">
        <v>99</v>
      </c>
      <c r="D623" s="102">
        <v>44438</v>
      </c>
      <c r="E623" s="87">
        <v>3500</v>
      </c>
      <c r="F623" s="87" t="s">
        <v>112</v>
      </c>
      <c r="G623" s="87" t="s">
        <v>295</v>
      </c>
      <c r="H623" s="102">
        <v>44438</v>
      </c>
    </row>
    <row r="624" spans="1:9">
      <c r="A624" s="87" t="s">
        <v>73</v>
      </c>
      <c r="B624" s="87">
        <v>1680</v>
      </c>
      <c r="C624" s="87" t="s">
        <v>80</v>
      </c>
      <c r="D624" s="102">
        <v>44438</v>
      </c>
      <c r="E624" s="87">
        <v>1600</v>
      </c>
      <c r="F624" s="87" t="s">
        <v>3</v>
      </c>
      <c r="G624" s="87" t="s">
        <v>295</v>
      </c>
      <c r="H624" s="102">
        <v>44438</v>
      </c>
    </row>
    <row r="625" spans="1:9">
      <c r="A625" s="87" t="s">
        <v>73</v>
      </c>
      <c r="B625" s="87">
        <v>1681</v>
      </c>
      <c r="C625" s="87" t="s">
        <v>96</v>
      </c>
      <c r="D625" s="102">
        <v>44438</v>
      </c>
      <c r="E625" s="87">
        <v>3500</v>
      </c>
      <c r="F625" s="87" t="s">
        <v>112</v>
      </c>
      <c r="G625" s="87" t="s">
        <v>295</v>
      </c>
      <c r="H625" s="102">
        <v>44438</v>
      </c>
    </row>
    <row r="626" spans="1:9">
      <c r="A626" s="87" t="s">
        <v>73</v>
      </c>
      <c r="B626" s="87">
        <v>1682</v>
      </c>
      <c r="C626" s="87" t="s">
        <v>292</v>
      </c>
      <c r="D626" s="102">
        <v>44438</v>
      </c>
      <c r="E626" s="87">
        <v>2700</v>
      </c>
      <c r="F626" s="87" t="s">
        <v>107</v>
      </c>
      <c r="G626" s="87" t="s">
        <v>295</v>
      </c>
      <c r="H626" s="102">
        <v>44438</v>
      </c>
    </row>
    <row r="627" spans="1:9">
      <c r="A627" s="87" t="s">
        <v>115</v>
      </c>
      <c r="B627" s="87">
        <v>3508</v>
      </c>
      <c r="C627" s="87" t="s">
        <v>148</v>
      </c>
      <c r="D627" s="102">
        <v>44438</v>
      </c>
      <c r="E627" s="87">
        <v>4100</v>
      </c>
      <c r="F627" s="87" t="s">
        <v>166</v>
      </c>
      <c r="G627" s="87" t="s">
        <v>295</v>
      </c>
      <c r="H627" s="102">
        <v>44438</v>
      </c>
    </row>
    <row r="628" spans="1:9">
      <c r="A628" s="87" t="s">
        <v>115</v>
      </c>
      <c r="B628" s="87">
        <v>3509</v>
      </c>
      <c r="C628" s="87" t="s">
        <v>138</v>
      </c>
      <c r="D628" s="102">
        <v>44438</v>
      </c>
      <c r="E628" s="87">
        <v>2700</v>
      </c>
      <c r="F628" s="87" t="s">
        <v>135</v>
      </c>
      <c r="G628" s="87" t="s">
        <v>295</v>
      </c>
      <c r="H628" s="102">
        <v>44438</v>
      </c>
    </row>
    <row r="629" spans="1:9">
      <c r="A629" s="87" t="s">
        <v>73</v>
      </c>
      <c r="B629" s="87">
        <v>1683</v>
      </c>
      <c r="C629" s="87" t="s">
        <v>79</v>
      </c>
      <c r="D629" s="102">
        <v>44438</v>
      </c>
      <c r="E629" s="87">
        <v>1600</v>
      </c>
      <c r="F629" s="87" t="s">
        <v>3</v>
      </c>
      <c r="G629" s="87" t="s">
        <v>295</v>
      </c>
      <c r="H629" s="102">
        <v>44438</v>
      </c>
    </row>
    <row r="630" spans="1:9">
      <c r="A630" s="87" t="s">
        <v>73</v>
      </c>
      <c r="B630" s="87">
        <v>1684</v>
      </c>
      <c r="C630" s="87" t="s">
        <v>106</v>
      </c>
      <c r="D630" s="102">
        <v>44438</v>
      </c>
      <c r="E630" s="87">
        <v>2700</v>
      </c>
      <c r="F630" s="87" t="s">
        <v>107</v>
      </c>
      <c r="G630" s="87" t="s">
        <v>295</v>
      </c>
      <c r="H630" s="102">
        <v>44438</v>
      </c>
    </row>
    <row r="631" spans="1:9">
      <c r="A631" s="87" t="s">
        <v>115</v>
      </c>
      <c r="B631" s="87">
        <v>3510</v>
      </c>
      <c r="C631" s="87" t="s">
        <v>237</v>
      </c>
      <c r="D631" s="102">
        <v>44438</v>
      </c>
      <c r="E631" s="87">
        <v>3600</v>
      </c>
      <c r="F631" s="87" t="s">
        <v>238</v>
      </c>
      <c r="G631" s="87" t="s">
        <v>295</v>
      </c>
      <c r="H631" s="102">
        <v>44438</v>
      </c>
    </row>
    <row r="632" spans="1:9">
      <c r="A632" s="87" t="s">
        <v>115</v>
      </c>
      <c r="B632" s="87">
        <v>3511</v>
      </c>
      <c r="C632" s="87" t="s">
        <v>146</v>
      </c>
      <c r="D632" s="102">
        <v>44438</v>
      </c>
      <c r="E632" s="87">
        <v>2000</v>
      </c>
      <c r="F632" s="87" t="s">
        <v>8</v>
      </c>
      <c r="G632" s="87" t="s">
        <v>295</v>
      </c>
      <c r="H632" s="102">
        <v>44438</v>
      </c>
      <c r="I632" t="s">
        <v>288</v>
      </c>
    </row>
    <row r="633" spans="1:9">
      <c r="A633" s="87" t="s">
        <v>73</v>
      </c>
      <c r="B633" s="87">
        <v>1685</v>
      </c>
      <c r="C633" s="87" t="s">
        <v>110</v>
      </c>
      <c r="D633" s="102">
        <v>44438</v>
      </c>
      <c r="E633" s="87">
        <v>2700</v>
      </c>
      <c r="F633" s="87" t="s">
        <v>107</v>
      </c>
      <c r="G633" s="87" t="s">
        <v>295</v>
      </c>
      <c r="H633" s="102">
        <v>44438</v>
      </c>
    </row>
    <row r="634" spans="1:9">
      <c r="A634" s="87" t="s">
        <v>115</v>
      </c>
      <c r="B634" s="87">
        <v>3512</v>
      </c>
      <c r="C634" s="87" t="s">
        <v>289</v>
      </c>
      <c r="D634" s="102">
        <v>44438</v>
      </c>
      <c r="E634" s="87">
        <v>2200</v>
      </c>
      <c r="F634" s="87" t="s">
        <v>290</v>
      </c>
      <c r="G634" s="87" t="s">
        <v>295</v>
      </c>
      <c r="H634" s="102">
        <v>44438</v>
      </c>
    </row>
    <row r="635" spans="1:9">
      <c r="A635" s="87" t="s">
        <v>115</v>
      </c>
      <c r="B635" s="87">
        <v>3513</v>
      </c>
      <c r="C635" s="87" t="s">
        <v>127</v>
      </c>
      <c r="D635" s="102">
        <v>44438</v>
      </c>
      <c r="E635" s="87">
        <v>5500</v>
      </c>
      <c r="F635" s="87" t="s">
        <v>157</v>
      </c>
      <c r="G635" s="87" t="s">
        <v>295</v>
      </c>
      <c r="H635" s="102">
        <v>44438</v>
      </c>
    </row>
    <row r="636" spans="1:9">
      <c r="A636" s="94" t="s">
        <v>115</v>
      </c>
      <c r="B636" s="94">
        <v>3514</v>
      </c>
      <c r="C636" s="94" t="s">
        <v>170</v>
      </c>
      <c r="D636" s="95">
        <v>44468</v>
      </c>
      <c r="E636" s="94">
        <v>3200</v>
      </c>
      <c r="F636" s="94" t="s">
        <v>161</v>
      </c>
      <c r="G636" s="94" t="s">
        <v>297</v>
      </c>
      <c r="H636" s="95">
        <v>44468</v>
      </c>
      <c r="I636" t="s">
        <v>298</v>
      </c>
    </row>
    <row r="637" spans="1:9">
      <c r="A637" s="87" t="s">
        <v>115</v>
      </c>
      <c r="B637" s="87">
        <v>3515</v>
      </c>
      <c r="C637" s="87" t="s">
        <v>190</v>
      </c>
      <c r="D637" s="102">
        <v>44468</v>
      </c>
      <c r="E637" s="87">
        <f>2100*3</f>
        <v>6300</v>
      </c>
      <c r="F637" s="87" t="s">
        <v>8</v>
      </c>
      <c r="G637" s="87" t="s">
        <v>299</v>
      </c>
      <c r="H637" s="102">
        <v>44468</v>
      </c>
    </row>
    <row r="638" spans="1:9">
      <c r="A638" s="114" t="s">
        <v>73</v>
      </c>
      <c r="B638" s="114">
        <v>1686</v>
      </c>
      <c r="C638" s="114" t="s">
        <v>102</v>
      </c>
      <c r="D638" s="115">
        <v>44468</v>
      </c>
      <c r="E638" s="114">
        <v>5400</v>
      </c>
      <c r="F638" s="114" t="s">
        <v>8</v>
      </c>
      <c r="G638" s="114" t="s">
        <v>300</v>
      </c>
      <c r="H638" s="115">
        <v>44468</v>
      </c>
    </row>
    <row r="639" spans="1:9">
      <c r="A639" s="87" t="s">
        <v>73</v>
      </c>
      <c r="B639" s="87">
        <v>1687</v>
      </c>
      <c r="C639" s="87" t="s">
        <v>275</v>
      </c>
      <c r="D639" s="152">
        <v>44468</v>
      </c>
      <c r="E639" s="87">
        <v>5000</v>
      </c>
      <c r="F639" s="87" t="s">
        <v>89</v>
      </c>
      <c r="G639" s="87" t="s">
        <v>297</v>
      </c>
      <c r="H639" s="92">
        <v>44468</v>
      </c>
    </row>
    <row r="640" spans="1:9">
      <c r="A640" s="87" t="s">
        <v>115</v>
      </c>
      <c r="B640" s="87">
        <v>3516</v>
      </c>
      <c r="C640" s="87" t="s">
        <v>131</v>
      </c>
      <c r="D640" s="152">
        <v>44468</v>
      </c>
      <c r="E640" s="87">
        <v>1100</v>
      </c>
      <c r="F640" s="87" t="s">
        <v>142</v>
      </c>
      <c r="G640" s="87" t="s">
        <v>297</v>
      </c>
      <c r="H640" s="102">
        <v>44468</v>
      </c>
    </row>
    <row r="641" spans="1:9">
      <c r="A641" s="87" t="s">
        <v>115</v>
      </c>
      <c r="B641" s="87">
        <v>3517</v>
      </c>
      <c r="C641" s="87" t="s">
        <v>128</v>
      </c>
      <c r="D641" s="152">
        <v>44468</v>
      </c>
      <c r="E641" s="87">
        <v>10200</v>
      </c>
      <c r="F641" s="87" t="s">
        <v>142</v>
      </c>
      <c r="G641" s="87" t="s">
        <v>297</v>
      </c>
      <c r="H641" s="92">
        <v>44468</v>
      </c>
    </row>
    <row r="642" spans="1:9">
      <c r="A642" s="87" t="s">
        <v>115</v>
      </c>
      <c r="B642" s="87">
        <v>3518</v>
      </c>
      <c r="C642" s="87" t="s">
        <v>134</v>
      </c>
      <c r="D642" s="152">
        <v>44468</v>
      </c>
      <c r="E642" s="87">
        <v>3100</v>
      </c>
      <c r="F642" s="87" t="s">
        <v>135</v>
      </c>
      <c r="G642" s="87" t="s">
        <v>297</v>
      </c>
      <c r="H642" s="102">
        <v>44468</v>
      </c>
    </row>
    <row r="643" spans="1:9">
      <c r="A643" s="153" t="s">
        <v>115</v>
      </c>
      <c r="B643" s="153">
        <v>3519</v>
      </c>
      <c r="C643" s="153" t="s">
        <v>214</v>
      </c>
      <c r="D643" s="154">
        <v>44468</v>
      </c>
      <c r="E643" s="153">
        <v>2500</v>
      </c>
      <c r="F643" s="153" t="s">
        <v>215</v>
      </c>
      <c r="G643" s="153" t="s">
        <v>299</v>
      </c>
      <c r="H643" s="155">
        <v>44468</v>
      </c>
      <c r="I643" t="s">
        <v>301</v>
      </c>
    </row>
    <row r="644" spans="1:9">
      <c r="A644" s="87" t="s">
        <v>115</v>
      </c>
      <c r="B644" s="87">
        <v>3520</v>
      </c>
      <c r="C644" s="87" t="s">
        <v>293</v>
      </c>
      <c r="D644" s="102">
        <v>44519</v>
      </c>
      <c r="E644" s="87">
        <v>9000</v>
      </c>
      <c r="F644" s="87" t="s">
        <v>112</v>
      </c>
      <c r="G644" s="87" t="s">
        <v>299</v>
      </c>
      <c r="H644" s="102">
        <v>44519</v>
      </c>
    </row>
    <row r="645" spans="1:9">
      <c r="A645" s="87" t="s">
        <v>73</v>
      </c>
      <c r="B645" s="87">
        <v>1688</v>
      </c>
      <c r="C645" s="87" t="s">
        <v>109</v>
      </c>
      <c r="D645" s="102">
        <v>44468</v>
      </c>
      <c r="E645" s="87">
        <v>2700</v>
      </c>
      <c r="F645" s="87" t="s">
        <v>91</v>
      </c>
      <c r="G645" s="87" t="s">
        <v>297</v>
      </c>
      <c r="H645" s="102">
        <v>44468</v>
      </c>
    </row>
    <row r="646" spans="1:9">
      <c r="A646" s="87" t="s">
        <v>115</v>
      </c>
      <c r="B646" s="87">
        <v>3521</v>
      </c>
      <c r="C646" s="87" t="s">
        <v>147</v>
      </c>
      <c r="D646" s="102">
        <v>44468</v>
      </c>
      <c r="E646" s="87">
        <v>5400</v>
      </c>
      <c r="F646" s="87" t="s">
        <v>89</v>
      </c>
      <c r="G646" s="87" t="s">
        <v>297</v>
      </c>
      <c r="H646" s="102">
        <v>44468</v>
      </c>
    </row>
    <row r="647" spans="1:9">
      <c r="A647" s="87" t="s">
        <v>115</v>
      </c>
      <c r="B647" s="87">
        <v>3522</v>
      </c>
      <c r="C647" s="87" t="s">
        <v>130</v>
      </c>
      <c r="D647" s="102">
        <v>44468</v>
      </c>
      <c r="E647" s="87">
        <v>1500</v>
      </c>
      <c r="F647" s="87" t="s">
        <v>142</v>
      </c>
      <c r="G647" s="87" t="s">
        <v>297</v>
      </c>
      <c r="H647" s="102">
        <v>44468</v>
      </c>
    </row>
    <row r="648" spans="1:9">
      <c r="A648" s="87" t="s">
        <v>115</v>
      </c>
      <c r="B648" s="87" t="s">
        <v>302</v>
      </c>
      <c r="C648" s="129" t="s">
        <v>153</v>
      </c>
      <c r="D648" s="102">
        <v>44468</v>
      </c>
      <c r="E648" s="87">
        <f>2100*3</f>
        <v>6300</v>
      </c>
      <c r="F648" s="87" t="s">
        <v>168</v>
      </c>
      <c r="G648" s="87" t="s">
        <v>299</v>
      </c>
      <c r="H648" s="102">
        <v>44468</v>
      </c>
    </row>
    <row r="649" spans="1:9">
      <c r="A649" s="87" t="s">
        <v>115</v>
      </c>
      <c r="B649" s="87">
        <v>3523</v>
      </c>
      <c r="C649" s="129" t="s">
        <v>154</v>
      </c>
      <c r="D649" s="102">
        <v>44468</v>
      </c>
      <c r="E649" s="87">
        <v>6300</v>
      </c>
      <c r="F649" s="87" t="s">
        <v>168</v>
      </c>
      <c r="G649" s="87" t="s">
        <v>299</v>
      </c>
      <c r="H649" s="102">
        <v>44468</v>
      </c>
    </row>
    <row r="650" spans="1:9">
      <c r="A650" s="87" t="s">
        <v>115</v>
      </c>
      <c r="B650" s="87">
        <v>3525</v>
      </c>
      <c r="C650" s="87" t="s">
        <v>140</v>
      </c>
      <c r="D650" s="102">
        <v>44468</v>
      </c>
      <c r="E650" s="87">
        <f>(1600*3)+(3500*3)+(1500*3)</f>
        <v>19800</v>
      </c>
      <c r="F650" s="87" t="s">
        <v>25</v>
      </c>
      <c r="G650" s="87" t="s">
        <v>299</v>
      </c>
      <c r="H650" s="102">
        <v>44468</v>
      </c>
      <c r="I650" t="s">
        <v>281</v>
      </c>
    </row>
    <row r="651" spans="1:9">
      <c r="A651" s="87" t="s">
        <v>73</v>
      </c>
      <c r="B651" s="87">
        <v>1689</v>
      </c>
      <c r="C651" s="87" t="s">
        <v>140</v>
      </c>
      <c r="D651" s="102">
        <v>44468</v>
      </c>
      <c r="E651" s="87">
        <f>(3500*3)+(1000*3)</f>
        <v>13500</v>
      </c>
      <c r="F651" s="87" t="s">
        <v>25</v>
      </c>
      <c r="G651" s="87" t="s">
        <v>299</v>
      </c>
      <c r="H651" s="102">
        <v>44468</v>
      </c>
      <c r="I651" t="s">
        <v>246</v>
      </c>
    </row>
    <row r="652" spans="1:9">
      <c r="A652" s="87" t="s">
        <v>115</v>
      </c>
      <c r="B652" s="87">
        <v>3526</v>
      </c>
      <c r="C652" s="137" t="s">
        <v>152</v>
      </c>
      <c r="D652" s="102">
        <v>44468</v>
      </c>
      <c r="E652" s="87">
        <v>3500</v>
      </c>
      <c r="F652" s="87" t="s">
        <v>164</v>
      </c>
      <c r="G652" s="87" t="s">
        <v>297</v>
      </c>
      <c r="H652" s="102">
        <v>44468</v>
      </c>
    </row>
    <row r="653" spans="1:9">
      <c r="A653" s="87" t="s">
        <v>73</v>
      </c>
      <c r="B653" s="87">
        <v>1690</v>
      </c>
      <c r="C653" s="87" t="s">
        <v>87</v>
      </c>
      <c r="D653" s="102">
        <v>44468</v>
      </c>
      <c r="E653" s="87">
        <v>1100</v>
      </c>
      <c r="F653" s="87" t="s">
        <v>91</v>
      </c>
      <c r="G653" s="87" t="s">
        <v>297</v>
      </c>
      <c r="H653" s="102">
        <v>44468</v>
      </c>
    </row>
    <row r="654" spans="1:9">
      <c r="A654" s="87" t="s">
        <v>115</v>
      </c>
      <c r="B654" s="87">
        <v>3527</v>
      </c>
      <c r="C654" s="87" t="s">
        <v>129</v>
      </c>
      <c r="D654" s="102">
        <v>44468</v>
      </c>
      <c r="E654" s="87">
        <v>500</v>
      </c>
      <c r="F654" s="87" t="s">
        <v>142</v>
      </c>
      <c r="G654" s="87" t="s">
        <v>297</v>
      </c>
      <c r="H654" s="102">
        <v>44468</v>
      </c>
    </row>
    <row r="655" spans="1:9">
      <c r="A655" s="87" t="s">
        <v>73</v>
      </c>
      <c r="B655" s="87">
        <v>1691</v>
      </c>
      <c r="C655" s="87" t="s">
        <v>292</v>
      </c>
      <c r="D655" s="102">
        <v>44468</v>
      </c>
      <c r="E655" s="87">
        <v>2700</v>
      </c>
      <c r="F655" s="87" t="s">
        <v>107</v>
      </c>
      <c r="G655" s="87" t="s">
        <v>297</v>
      </c>
      <c r="H655" s="102">
        <v>44468</v>
      </c>
    </row>
    <row r="656" spans="1:9">
      <c r="A656" s="87" t="s">
        <v>115</v>
      </c>
      <c r="B656" s="87">
        <v>3528</v>
      </c>
      <c r="C656" s="87" t="s">
        <v>132</v>
      </c>
      <c r="D656" s="102">
        <v>44468</v>
      </c>
      <c r="E656" s="87">
        <v>3800</v>
      </c>
      <c r="F656" s="87" t="s">
        <v>135</v>
      </c>
      <c r="G656" s="87" t="s">
        <v>297</v>
      </c>
      <c r="H656" s="102">
        <v>44468</v>
      </c>
    </row>
    <row r="657" spans="1:9">
      <c r="A657" s="87" t="s">
        <v>115</v>
      </c>
      <c r="B657" s="87">
        <v>3529</v>
      </c>
      <c r="C657" s="87" t="s">
        <v>141</v>
      </c>
      <c r="D657" s="102">
        <v>44468</v>
      </c>
      <c r="E657" s="87">
        <v>1900</v>
      </c>
      <c r="F657" s="87" t="s">
        <v>142</v>
      </c>
      <c r="G657" s="87" t="s">
        <v>297</v>
      </c>
      <c r="H657" s="102">
        <v>44468</v>
      </c>
    </row>
    <row r="658" spans="1:9">
      <c r="A658" s="87" t="s">
        <v>73</v>
      </c>
      <c r="B658" s="87">
        <v>1692</v>
      </c>
      <c r="C658" s="87" t="s">
        <v>207</v>
      </c>
      <c r="D658" s="102">
        <v>44469</v>
      </c>
      <c r="E658" s="87">
        <v>9000</v>
      </c>
      <c r="F658" s="87" t="s">
        <v>93</v>
      </c>
      <c r="G658" s="87" t="s">
        <v>297</v>
      </c>
      <c r="H658" s="102">
        <v>44469</v>
      </c>
    </row>
    <row r="659" spans="1:9">
      <c r="A659" s="87" t="s">
        <v>73</v>
      </c>
      <c r="B659" s="87">
        <v>1693</v>
      </c>
      <c r="C659" s="87" t="s">
        <v>81</v>
      </c>
      <c r="D659" s="102">
        <v>44469</v>
      </c>
      <c r="E659" s="87">
        <v>1800</v>
      </c>
      <c r="F659" s="87" t="s">
        <v>92</v>
      </c>
      <c r="G659" s="87" t="s">
        <v>297</v>
      </c>
      <c r="H659" s="102">
        <v>44469</v>
      </c>
    </row>
    <row r="660" spans="1:9">
      <c r="A660" s="87" t="s">
        <v>115</v>
      </c>
      <c r="B660" s="87">
        <v>3530</v>
      </c>
      <c r="C660" s="87" t="s">
        <v>137</v>
      </c>
      <c r="D660" s="102">
        <v>44469</v>
      </c>
      <c r="E660" s="87">
        <v>4000</v>
      </c>
      <c r="F660" s="87" t="s">
        <v>135</v>
      </c>
      <c r="G660" s="87" t="s">
        <v>297</v>
      </c>
      <c r="H660" s="102">
        <v>44469</v>
      </c>
    </row>
    <row r="661" spans="1:9">
      <c r="A661" s="87" t="s">
        <v>115</v>
      </c>
      <c r="B661" s="87">
        <v>3531</v>
      </c>
      <c r="C661" s="87" t="s">
        <v>149</v>
      </c>
      <c r="D661" s="102">
        <v>44469</v>
      </c>
      <c r="E661" s="87">
        <v>2600</v>
      </c>
      <c r="F661" s="87" t="s">
        <v>8</v>
      </c>
      <c r="G661" s="87" t="s">
        <v>297</v>
      </c>
      <c r="H661" s="102">
        <v>44469</v>
      </c>
    </row>
    <row r="662" spans="1:9">
      <c r="A662" s="87" t="s">
        <v>73</v>
      </c>
      <c r="B662" s="87">
        <v>1694</v>
      </c>
      <c r="C662" s="87" t="s">
        <v>99</v>
      </c>
      <c r="D662" s="102">
        <v>44469</v>
      </c>
      <c r="E662" s="87">
        <v>3500</v>
      </c>
      <c r="F662" s="87" t="s">
        <v>112</v>
      </c>
      <c r="G662" s="87" t="s">
        <v>297</v>
      </c>
      <c r="H662" s="102">
        <v>44469</v>
      </c>
    </row>
    <row r="663" spans="1:9">
      <c r="A663" s="87" t="s">
        <v>73</v>
      </c>
      <c r="B663" s="87">
        <v>1695</v>
      </c>
      <c r="C663" s="87" t="s">
        <v>80</v>
      </c>
      <c r="D663" s="102">
        <v>44469</v>
      </c>
      <c r="E663" s="87">
        <v>1600</v>
      </c>
      <c r="F663" s="87" t="s">
        <v>3</v>
      </c>
      <c r="G663" s="87" t="s">
        <v>297</v>
      </c>
      <c r="H663" s="102">
        <v>44469</v>
      </c>
    </row>
    <row r="664" spans="1:9">
      <c r="A664" s="87" t="s">
        <v>73</v>
      </c>
      <c r="B664" s="87">
        <v>1696</v>
      </c>
      <c r="C664" s="87" t="s">
        <v>77</v>
      </c>
      <c r="D664" s="102">
        <v>44469</v>
      </c>
      <c r="E664" s="87">
        <v>2500</v>
      </c>
      <c r="F664" s="87" t="s">
        <v>91</v>
      </c>
      <c r="G664" s="146" t="s">
        <v>299</v>
      </c>
      <c r="H664" s="102">
        <v>44469</v>
      </c>
    </row>
    <row r="665" spans="1:9">
      <c r="A665" s="87" t="s">
        <v>73</v>
      </c>
      <c r="B665" s="87">
        <v>1697</v>
      </c>
      <c r="C665" s="87" t="s">
        <v>86</v>
      </c>
      <c r="D665" s="102">
        <v>44469</v>
      </c>
      <c r="E665" s="87">
        <v>4800</v>
      </c>
      <c r="F665" s="87" t="s">
        <v>8</v>
      </c>
      <c r="G665" s="87" t="s">
        <v>299</v>
      </c>
      <c r="H665" s="102">
        <v>44469</v>
      </c>
    </row>
    <row r="666" spans="1:9">
      <c r="A666" s="87" t="s">
        <v>73</v>
      </c>
      <c r="B666" s="87">
        <v>1698</v>
      </c>
      <c r="C666" s="87" t="s">
        <v>96</v>
      </c>
      <c r="D666" s="102">
        <v>44469</v>
      </c>
      <c r="E666" s="87">
        <v>3500</v>
      </c>
      <c r="F666" s="87" t="s">
        <v>112</v>
      </c>
      <c r="G666" s="87" t="s">
        <v>297</v>
      </c>
      <c r="H666" s="102">
        <v>44469</v>
      </c>
    </row>
    <row r="667" spans="1:9">
      <c r="A667" s="87" t="s">
        <v>115</v>
      </c>
      <c r="B667" s="87">
        <v>3532</v>
      </c>
      <c r="C667" s="87" t="s">
        <v>148</v>
      </c>
      <c r="D667" s="102">
        <v>44469</v>
      </c>
      <c r="E667" s="87">
        <v>4100</v>
      </c>
      <c r="F667" s="87" t="s">
        <v>166</v>
      </c>
      <c r="G667" s="87" t="s">
        <v>297</v>
      </c>
      <c r="H667" s="102">
        <v>44469</v>
      </c>
    </row>
    <row r="668" spans="1:9">
      <c r="A668" s="87" t="s">
        <v>115</v>
      </c>
      <c r="B668" s="87">
        <v>3533</v>
      </c>
      <c r="C668" s="87" t="s">
        <v>138</v>
      </c>
      <c r="D668" s="102">
        <v>44469</v>
      </c>
      <c r="E668" s="87">
        <v>2700</v>
      </c>
      <c r="F668" s="87" t="s">
        <v>135</v>
      </c>
      <c r="G668" s="87" t="s">
        <v>297</v>
      </c>
      <c r="H668" s="102">
        <v>44469</v>
      </c>
    </row>
    <row r="669" spans="1:9">
      <c r="A669" s="87" t="s">
        <v>73</v>
      </c>
      <c r="B669" s="87">
        <v>1699</v>
      </c>
      <c r="C669" s="87" t="s">
        <v>79</v>
      </c>
      <c r="D669" s="102">
        <v>44469</v>
      </c>
      <c r="E669" s="87">
        <v>1600</v>
      </c>
      <c r="F669" s="87" t="s">
        <v>3</v>
      </c>
      <c r="G669" s="87" t="s">
        <v>297</v>
      </c>
      <c r="H669" s="102">
        <v>44469</v>
      </c>
    </row>
    <row r="670" spans="1:9">
      <c r="A670" s="87" t="s">
        <v>73</v>
      </c>
      <c r="B670" s="87">
        <v>1700</v>
      </c>
      <c r="C670" s="87" t="s">
        <v>106</v>
      </c>
      <c r="D670" s="102">
        <v>44469</v>
      </c>
      <c r="E670" s="87">
        <v>2700</v>
      </c>
      <c r="F670" s="87" t="s">
        <v>107</v>
      </c>
      <c r="G670" s="87" t="s">
        <v>297</v>
      </c>
      <c r="H670" s="102">
        <v>44469</v>
      </c>
    </row>
    <row r="671" spans="1:9">
      <c r="A671" s="87" t="s">
        <v>115</v>
      </c>
      <c r="B671" s="87">
        <v>3534</v>
      </c>
      <c r="C671" s="87" t="s">
        <v>237</v>
      </c>
      <c r="D671" s="102">
        <v>44469</v>
      </c>
      <c r="E671" s="87">
        <v>3600</v>
      </c>
      <c r="F671" s="87" t="s">
        <v>238</v>
      </c>
      <c r="G671" s="87" t="s">
        <v>297</v>
      </c>
      <c r="H671" s="102">
        <v>44469</v>
      </c>
    </row>
    <row r="672" spans="1:9">
      <c r="A672" s="87" t="s">
        <v>115</v>
      </c>
      <c r="B672" s="87">
        <v>3535</v>
      </c>
      <c r="C672" s="87" t="s">
        <v>146</v>
      </c>
      <c r="D672" s="102">
        <v>44469</v>
      </c>
      <c r="E672" s="87">
        <v>2000</v>
      </c>
      <c r="F672" s="87" t="s">
        <v>8</v>
      </c>
      <c r="G672" s="87" t="s">
        <v>297</v>
      </c>
      <c r="H672" s="102">
        <v>44469</v>
      </c>
      <c r="I672" t="s">
        <v>303</v>
      </c>
    </row>
    <row r="673" spans="1:10">
      <c r="A673" s="87" t="s">
        <v>73</v>
      </c>
      <c r="B673" s="87">
        <v>1701</v>
      </c>
      <c r="C673" s="87" t="s">
        <v>101</v>
      </c>
      <c r="D673" s="102">
        <v>44469</v>
      </c>
      <c r="E673" s="87">
        <v>4600</v>
      </c>
      <c r="F673" s="87" t="s">
        <v>8</v>
      </c>
      <c r="G673" s="87" t="s">
        <v>299</v>
      </c>
      <c r="H673" s="102">
        <v>44469</v>
      </c>
    </row>
    <row r="674" spans="1:10">
      <c r="A674" s="87" t="s">
        <v>115</v>
      </c>
      <c r="B674" s="87">
        <v>3536</v>
      </c>
      <c r="C674" s="87" t="s">
        <v>155</v>
      </c>
      <c r="D674" s="102">
        <v>44469</v>
      </c>
      <c r="E674" s="139">
        <v>9000</v>
      </c>
      <c r="F674" s="87" t="s">
        <v>89</v>
      </c>
      <c r="G674" s="87" t="s">
        <v>299</v>
      </c>
      <c r="H674" s="102">
        <v>44469</v>
      </c>
    </row>
    <row r="675" spans="1:10">
      <c r="A675" s="87" t="s">
        <v>73</v>
      </c>
      <c r="B675" s="87">
        <v>1702</v>
      </c>
      <c r="C675" s="87" t="s">
        <v>110</v>
      </c>
      <c r="D675" s="102">
        <v>44469</v>
      </c>
      <c r="E675" s="87">
        <v>2700</v>
      </c>
      <c r="F675" s="87" t="s">
        <v>107</v>
      </c>
      <c r="G675" s="87" t="s">
        <v>297</v>
      </c>
      <c r="H675" s="102">
        <v>44469</v>
      </c>
    </row>
    <row r="676" spans="1:10">
      <c r="A676" s="87" t="s">
        <v>115</v>
      </c>
      <c r="B676" s="87">
        <v>3537</v>
      </c>
      <c r="C676" s="87" t="s">
        <v>289</v>
      </c>
      <c r="D676" s="102">
        <v>44469</v>
      </c>
      <c r="E676" s="87">
        <v>2200</v>
      </c>
      <c r="F676" s="87" t="s">
        <v>290</v>
      </c>
      <c r="G676" s="87" t="s">
        <v>297</v>
      </c>
      <c r="H676" s="102">
        <v>44469</v>
      </c>
    </row>
    <row r="677" spans="1:10">
      <c r="A677" s="87" t="s">
        <v>115</v>
      </c>
      <c r="B677" s="87">
        <v>3538</v>
      </c>
      <c r="C677" s="87" t="s">
        <v>127</v>
      </c>
      <c r="D677" s="102">
        <v>44469</v>
      </c>
      <c r="E677" s="87">
        <v>5500</v>
      </c>
      <c r="F677" s="87" t="s">
        <v>157</v>
      </c>
      <c r="G677" s="87" t="s">
        <v>297</v>
      </c>
      <c r="H677" s="102">
        <v>44469</v>
      </c>
    </row>
    <row r="678" spans="1:10">
      <c r="A678" s="87" t="s">
        <v>115</v>
      </c>
      <c r="B678" s="87">
        <v>3539</v>
      </c>
      <c r="C678" s="87" t="s">
        <v>140</v>
      </c>
      <c r="D678" s="102">
        <v>44480</v>
      </c>
      <c r="E678" s="87">
        <f>7500+5000+12500</f>
        <v>25000</v>
      </c>
      <c r="F678" s="87" t="s">
        <v>25</v>
      </c>
      <c r="G678" s="87"/>
      <c r="H678" s="102">
        <v>44480</v>
      </c>
      <c r="I678" t="s">
        <v>304</v>
      </c>
    </row>
    <row r="679" spans="1:10">
      <c r="A679" s="87" t="s">
        <v>115</v>
      </c>
      <c r="B679" s="87">
        <v>3540</v>
      </c>
      <c r="C679" s="129" t="s">
        <v>154</v>
      </c>
      <c r="D679" s="102">
        <v>44487</v>
      </c>
      <c r="E679" s="87">
        <v>2400</v>
      </c>
      <c r="F679" s="87" t="s">
        <v>168</v>
      </c>
      <c r="G679" s="87" t="s">
        <v>300</v>
      </c>
      <c r="H679" s="102">
        <v>44487</v>
      </c>
      <c r="J679" t="s">
        <v>305</v>
      </c>
    </row>
    <row r="680" spans="1:10">
      <c r="A680" s="94" t="s">
        <v>115</v>
      </c>
      <c r="B680" s="94">
        <v>3541</v>
      </c>
      <c r="C680" s="94" t="s">
        <v>170</v>
      </c>
      <c r="D680" s="95">
        <v>44497</v>
      </c>
      <c r="E680" s="94">
        <v>3200</v>
      </c>
      <c r="F680" s="94" t="s">
        <v>161</v>
      </c>
      <c r="G680" s="94" t="s">
        <v>306</v>
      </c>
      <c r="H680" s="95">
        <v>44497</v>
      </c>
      <c r="I680" t="s">
        <v>307</v>
      </c>
    </row>
    <row r="681" spans="1:10">
      <c r="A681" s="87" t="s">
        <v>73</v>
      </c>
      <c r="B681" s="87">
        <v>1703</v>
      </c>
      <c r="C681" s="87" t="s">
        <v>275</v>
      </c>
      <c r="D681" s="102">
        <v>44497</v>
      </c>
      <c r="E681" s="87">
        <v>5000</v>
      </c>
      <c r="F681" s="87" t="s">
        <v>89</v>
      </c>
      <c r="G681" s="87" t="s">
        <v>306</v>
      </c>
      <c r="H681" s="102">
        <v>44497</v>
      </c>
    </row>
    <row r="682" spans="1:10">
      <c r="A682" s="87" t="s">
        <v>250</v>
      </c>
      <c r="B682" s="87">
        <v>110</v>
      </c>
      <c r="C682" s="87" t="s">
        <v>275</v>
      </c>
      <c r="D682" s="102">
        <v>44497</v>
      </c>
      <c r="E682" s="87">
        <v>2000</v>
      </c>
      <c r="F682" s="87" t="s">
        <v>89</v>
      </c>
      <c r="G682" s="87" t="s">
        <v>308</v>
      </c>
      <c r="H682" s="102">
        <v>44497</v>
      </c>
    </row>
    <row r="683" spans="1:10">
      <c r="A683" s="87" t="s">
        <v>115</v>
      </c>
      <c r="B683" s="87">
        <v>3542</v>
      </c>
      <c r="C683" s="87" t="s">
        <v>131</v>
      </c>
      <c r="D683" s="102">
        <v>44497</v>
      </c>
      <c r="E683" s="87">
        <v>1100</v>
      </c>
      <c r="F683" s="87" t="s">
        <v>142</v>
      </c>
      <c r="G683" s="87" t="s">
        <v>306</v>
      </c>
      <c r="H683" s="102">
        <v>44497</v>
      </c>
    </row>
    <row r="684" spans="1:10">
      <c r="A684" s="87" t="s">
        <v>115</v>
      </c>
      <c r="B684" s="87">
        <v>3543</v>
      </c>
      <c r="C684" s="87" t="s">
        <v>128</v>
      </c>
      <c r="D684" s="102">
        <v>44497</v>
      </c>
      <c r="E684" s="87">
        <v>10200</v>
      </c>
      <c r="F684" s="87" t="s">
        <v>142</v>
      </c>
      <c r="G684" s="87" t="s">
        <v>306</v>
      </c>
      <c r="H684" s="102">
        <v>44497</v>
      </c>
    </row>
    <row r="685" spans="1:10">
      <c r="A685" s="87" t="s">
        <v>115</v>
      </c>
      <c r="B685" s="87">
        <v>3544</v>
      </c>
      <c r="C685" s="87" t="s">
        <v>134</v>
      </c>
      <c r="D685" s="102">
        <v>44497</v>
      </c>
      <c r="E685" s="87">
        <v>3100</v>
      </c>
      <c r="F685" s="87" t="s">
        <v>135</v>
      </c>
      <c r="G685" s="87" t="s">
        <v>306</v>
      </c>
      <c r="H685" s="102">
        <v>44497</v>
      </c>
    </row>
    <row r="686" spans="1:10">
      <c r="A686" s="87" t="s">
        <v>73</v>
      </c>
      <c r="B686" s="87">
        <v>1704</v>
      </c>
      <c r="C686" s="87" t="s">
        <v>109</v>
      </c>
      <c r="D686" s="102">
        <v>44497</v>
      </c>
      <c r="E686" s="87">
        <v>2700</v>
      </c>
      <c r="F686" s="87" t="s">
        <v>91</v>
      </c>
      <c r="G686" s="87" t="s">
        <v>306</v>
      </c>
      <c r="H686" s="102">
        <v>44497</v>
      </c>
    </row>
    <row r="687" spans="1:10">
      <c r="A687" s="87" t="s">
        <v>250</v>
      </c>
      <c r="B687" s="87">
        <v>111</v>
      </c>
      <c r="C687" s="87" t="s">
        <v>109</v>
      </c>
      <c r="D687" s="102">
        <v>44497</v>
      </c>
      <c r="E687" s="87">
        <v>1500</v>
      </c>
      <c r="F687" s="87" t="s">
        <v>91</v>
      </c>
      <c r="G687" s="87" t="s">
        <v>308</v>
      </c>
      <c r="H687" s="102">
        <v>44497</v>
      </c>
    </row>
    <row r="688" spans="1:10">
      <c r="A688" s="87" t="s">
        <v>115</v>
      </c>
      <c r="B688" s="87">
        <v>3545</v>
      </c>
      <c r="C688" s="87" t="s">
        <v>147</v>
      </c>
      <c r="D688" s="102">
        <v>44497</v>
      </c>
      <c r="E688" s="87">
        <v>5400</v>
      </c>
      <c r="F688" s="87" t="s">
        <v>89</v>
      </c>
      <c r="G688" s="87" t="s">
        <v>306</v>
      </c>
      <c r="H688" s="102">
        <v>44497</v>
      </c>
    </row>
    <row r="689" spans="1:9">
      <c r="A689" s="87" t="s">
        <v>115</v>
      </c>
      <c r="B689" s="87">
        <v>3546</v>
      </c>
      <c r="C689" s="87" t="s">
        <v>130</v>
      </c>
      <c r="D689" s="102">
        <v>44497</v>
      </c>
      <c r="E689" s="87">
        <v>1500</v>
      </c>
      <c r="F689" s="87" t="s">
        <v>142</v>
      </c>
      <c r="G689" s="87" t="s">
        <v>306</v>
      </c>
      <c r="H689" s="102">
        <v>44497</v>
      </c>
    </row>
    <row r="690" spans="1:9">
      <c r="A690" s="87" t="s">
        <v>115</v>
      </c>
      <c r="B690" s="87">
        <v>3547</v>
      </c>
      <c r="C690" s="137" t="s">
        <v>152</v>
      </c>
      <c r="D690" s="102">
        <v>44497</v>
      </c>
      <c r="E690" s="87">
        <v>3500</v>
      </c>
      <c r="F690" s="87" t="s">
        <v>164</v>
      </c>
      <c r="G690" s="87" t="s">
        <v>306</v>
      </c>
      <c r="H690" s="102">
        <v>44497</v>
      </c>
    </row>
    <row r="691" spans="1:9">
      <c r="A691" s="87" t="s">
        <v>73</v>
      </c>
      <c r="B691" s="87">
        <v>1705</v>
      </c>
      <c r="C691" s="87" t="s">
        <v>87</v>
      </c>
      <c r="D691" s="102">
        <v>44497</v>
      </c>
      <c r="E691" s="87">
        <v>1100</v>
      </c>
      <c r="F691" s="87" t="s">
        <v>91</v>
      </c>
      <c r="G691" s="87" t="s">
        <v>306</v>
      </c>
      <c r="H691" s="102">
        <v>44497</v>
      </c>
    </row>
    <row r="692" spans="1:9">
      <c r="A692" s="87" t="s">
        <v>115</v>
      </c>
      <c r="B692" s="87">
        <v>3548</v>
      </c>
      <c r="C692" s="87" t="s">
        <v>129</v>
      </c>
      <c r="D692" s="102">
        <v>44497</v>
      </c>
      <c r="E692" s="87">
        <v>500</v>
      </c>
      <c r="F692" s="87" t="s">
        <v>142</v>
      </c>
      <c r="G692" s="87" t="s">
        <v>306</v>
      </c>
      <c r="H692" s="102">
        <v>44497</v>
      </c>
    </row>
    <row r="693" spans="1:9">
      <c r="A693" s="87" t="s">
        <v>73</v>
      </c>
      <c r="B693" s="87">
        <v>1706</v>
      </c>
      <c r="C693" s="87" t="s">
        <v>292</v>
      </c>
      <c r="D693" s="102">
        <v>44497</v>
      </c>
      <c r="E693" s="87">
        <v>2700</v>
      </c>
      <c r="F693" s="87" t="s">
        <v>107</v>
      </c>
      <c r="G693" s="87" t="s">
        <v>306</v>
      </c>
      <c r="H693" s="102">
        <v>44497</v>
      </c>
    </row>
    <row r="694" spans="1:9">
      <c r="A694" s="94" t="s">
        <v>115</v>
      </c>
      <c r="B694" s="94">
        <v>3549</v>
      </c>
      <c r="C694" s="94" t="s">
        <v>132</v>
      </c>
      <c r="D694" s="95">
        <v>44497</v>
      </c>
      <c r="E694" s="94">
        <v>3800</v>
      </c>
      <c r="F694" s="94" t="s">
        <v>135</v>
      </c>
      <c r="G694" s="94" t="s">
        <v>306</v>
      </c>
      <c r="H694" s="95">
        <v>44497</v>
      </c>
      <c r="I694" t="s">
        <v>309</v>
      </c>
    </row>
    <row r="695" spans="1:9">
      <c r="A695" s="87" t="s">
        <v>115</v>
      </c>
      <c r="B695" s="87">
        <v>3550</v>
      </c>
      <c r="C695" s="87" t="s">
        <v>141</v>
      </c>
      <c r="D695" s="102">
        <v>44497</v>
      </c>
      <c r="E695" s="87">
        <v>1900</v>
      </c>
      <c r="F695" s="87" t="s">
        <v>142</v>
      </c>
      <c r="G695" s="87" t="s">
        <v>306</v>
      </c>
      <c r="H695" s="102">
        <v>44497</v>
      </c>
    </row>
    <row r="696" spans="1:9">
      <c r="A696" s="87" t="s">
        <v>73</v>
      </c>
      <c r="B696" s="87">
        <v>1707</v>
      </c>
      <c r="C696" s="87" t="s">
        <v>207</v>
      </c>
      <c r="D696" s="102">
        <v>44497</v>
      </c>
      <c r="E696" s="87">
        <v>9000</v>
      </c>
      <c r="F696" s="87" t="s">
        <v>93</v>
      </c>
      <c r="G696" s="87" t="s">
        <v>306</v>
      </c>
      <c r="H696" s="102">
        <v>44497</v>
      </c>
      <c r="I696" t="s">
        <v>310</v>
      </c>
    </row>
    <row r="697" spans="1:9">
      <c r="A697" s="87" t="s">
        <v>73</v>
      </c>
      <c r="B697" s="87">
        <v>1708</v>
      </c>
      <c r="C697" s="87" t="s">
        <v>81</v>
      </c>
      <c r="D697" s="102">
        <v>44497</v>
      </c>
      <c r="E697" s="87">
        <v>1800</v>
      </c>
      <c r="F697" s="87" t="s">
        <v>92</v>
      </c>
      <c r="G697" s="87" t="s">
        <v>306</v>
      </c>
      <c r="H697" s="102">
        <v>44497</v>
      </c>
    </row>
    <row r="698" spans="1:9">
      <c r="A698" s="87" t="s">
        <v>115</v>
      </c>
      <c r="B698" s="87">
        <v>3551</v>
      </c>
      <c r="C698" s="87" t="s">
        <v>137</v>
      </c>
      <c r="D698" s="102">
        <v>44497</v>
      </c>
      <c r="E698" s="87">
        <v>4000</v>
      </c>
      <c r="F698" s="87" t="s">
        <v>135</v>
      </c>
      <c r="G698" s="87" t="s">
        <v>306</v>
      </c>
      <c r="H698" s="102">
        <v>44497</v>
      </c>
    </row>
    <row r="699" spans="1:9">
      <c r="A699" s="87" t="s">
        <v>115</v>
      </c>
      <c r="B699" s="87">
        <v>3552</v>
      </c>
      <c r="C699" s="87" t="s">
        <v>149</v>
      </c>
      <c r="D699" s="102">
        <v>44497</v>
      </c>
      <c r="E699" s="87">
        <v>2600</v>
      </c>
      <c r="F699" s="87" t="s">
        <v>8</v>
      </c>
      <c r="G699" s="87" t="s">
        <v>306</v>
      </c>
      <c r="H699" s="102">
        <v>44497</v>
      </c>
    </row>
    <row r="700" spans="1:9">
      <c r="A700" s="87" t="s">
        <v>73</v>
      </c>
      <c r="B700" s="87">
        <v>1709</v>
      </c>
      <c r="C700" s="87" t="s">
        <v>99</v>
      </c>
      <c r="D700" s="102">
        <v>44497</v>
      </c>
      <c r="E700" s="87">
        <v>3500</v>
      </c>
      <c r="F700" s="87" t="s">
        <v>112</v>
      </c>
      <c r="G700" s="87" t="s">
        <v>306</v>
      </c>
      <c r="H700" s="102">
        <v>44497</v>
      </c>
    </row>
    <row r="701" spans="1:9">
      <c r="A701" s="87" t="s">
        <v>73</v>
      </c>
      <c r="B701" s="87">
        <v>1710</v>
      </c>
      <c r="C701" s="87" t="s">
        <v>80</v>
      </c>
      <c r="D701" s="102">
        <v>44497</v>
      </c>
      <c r="E701" s="87">
        <v>1600</v>
      </c>
      <c r="F701" s="87" t="s">
        <v>3</v>
      </c>
      <c r="G701" s="87" t="s">
        <v>306</v>
      </c>
      <c r="H701" s="102">
        <v>44497</v>
      </c>
    </row>
    <row r="702" spans="1:9">
      <c r="A702" s="87" t="s">
        <v>73</v>
      </c>
      <c r="B702" s="87">
        <v>1711</v>
      </c>
      <c r="C702" s="87" t="s">
        <v>96</v>
      </c>
      <c r="D702" s="102">
        <v>44497</v>
      </c>
      <c r="E702" s="87">
        <v>3500</v>
      </c>
      <c r="F702" s="87" t="s">
        <v>112</v>
      </c>
      <c r="G702" s="87" t="s">
        <v>306</v>
      </c>
      <c r="H702" s="102">
        <v>44497</v>
      </c>
    </row>
    <row r="703" spans="1:9">
      <c r="A703" s="87" t="s">
        <v>115</v>
      </c>
      <c r="B703" s="87">
        <v>3553</v>
      </c>
      <c r="C703" s="87" t="s">
        <v>148</v>
      </c>
      <c r="D703" s="102">
        <v>44497</v>
      </c>
      <c r="E703" s="87">
        <v>4100</v>
      </c>
      <c r="F703" s="87" t="s">
        <v>166</v>
      </c>
      <c r="G703" s="87" t="s">
        <v>306</v>
      </c>
      <c r="H703" s="102">
        <v>44497</v>
      </c>
    </row>
    <row r="704" spans="1:9">
      <c r="A704" s="87" t="s">
        <v>115</v>
      </c>
      <c r="B704" s="87">
        <v>3554</v>
      </c>
      <c r="C704" s="87" t="s">
        <v>138</v>
      </c>
      <c r="D704" s="102">
        <v>44497</v>
      </c>
      <c r="E704" s="87">
        <v>2700</v>
      </c>
      <c r="F704" s="87" t="s">
        <v>135</v>
      </c>
      <c r="G704" s="87" t="s">
        <v>306</v>
      </c>
      <c r="H704" s="102">
        <v>44497</v>
      </c>
    </row>
    <row r="705" spans="1:9">
      <c r="A705" s="87" t="s">
        <v>73</v>
      </c>
      <c r="B705" s="87">
        <v>1712</v>
      </c>
      <c r="C705" s="87" t="s">
        <v>79</v>
      </c>
      <c r="D705" s="102">
        <v>44497</v>
      </c>
      <c r="E705" s="87">
        <v>1600</v>
      </c>
      <c r="F705" s="87" t="s">
        <v>3</v>
      </c>
      <c r="G705" s="87" t="s">
        <v>306</v>
      </c>
      <c r="H705" s="102">
        <v>44497</v>
      </c>
    </row>
    <row r="706" spans="1:9">
      <c r="A706" s="87" t="s">
        <v>73</v>
      </c>
      <c r="B706" s="87">
        <v>1713</v>
      </c>
      <c r="C706" s="87" t="s">
        <v>106</v>
      </c>
      <c r="D706" s="102">
        <v>44497</v>
      </c>
      <c r="E706" s="87">
        <v>2700</v>
      </c>
      <c r="F706" s="87" t="s">
        <v>107</v>
      </c>
      <c r="G706" s="87" t="s">
        <v>306</v>
      </c>
      <c r="H706" s="102">
        <v>44497</v>
      </c>
    </row>
    <row r="707" spans="1:9">
      <c r="A707" s="87" t="s">
        <v>115</v>
      </c>
      <c r="B707" s="87">
        <v>3555</v>
      </c>
      <c r="C707" s="87" t="s">
        <v>237</v>
      </c>
      <c r="D707" s="102">
        <v>44497</v>
      </c>
      <c r="E707" s="87">
        <v>3600</v>
      </c>
      <c r="F707" s="87" t="s">
        <v>238</v>
      </c>
      <c r="G707" s="87" t="s">
        <v>306</v>
      </c>
      <c r="H707" s="102">
        <v>44497</v>
      </c>
    </row>
    <row r="708" spans="1:9">
      <c r="A708" s="87" t="s">
        <v>115</v>
      </c>
      <c r="B708" s="87">
        <v>3556</v>
      </c>
      <c r="C708" s="87" t="s">
        <v>146</v>
      </c>
      <c r="D708" s="102">
        <v>44497</v>
      </c>
      <c r="E708" s="87">
        <v>2000</v>
      </c>
      <c r="F708" s="87" t="s">
        <v>135</v>
      </c>
      <c r="G708" s="87" t="s">
        <v>306</v>
      </c>
      <c r="H708" s="102">
        <v>44497</v>
      </c>
      <c r="I708" t="s">
        <v>311</v>
      </c>
    </row>
    <row r="709" spans="1:9">
      <c r="A709" s="87" t="s">
        <v>73</v>
      </c>
      <c r="B709" s="87">
        <v>1714</v>
      </c>
      <c r="C709" s="87" t="s">
        <v>110</v>
      </c>
      <c r="D709" s="102">
        <v>44497</v>
      </c>
      <c r="E709" s="87">
        <v>2700</v>
      </c>
      <c r="F709" s="87" t="s">
        <v>107</v>
      </c>
      <c r="G709" s="87" t="s">
        <v>306</v>
      </c>
      <c r="H709" s="102">
        <v>44497</v>
      </c>
    </row>
    <row r="710" spans="1:9">
      <c r="A710" s="87" t="s">
        <v>115</v>
      </c>
      <c r="B710" s="87">
        <v>3557</v>
      </c>
      <c r="C710" s="87" t="s">
        <v>289</v>
      </c>
      <c r="D710" s="102">
        <v>44497</v>
      </c>
      <c r="E710" s="87">
        <v>2200</v>
      </c>
      <c r="F710" s="87" t="s">
        <v>290</v>
      </c>
      <c r="G710" s="87" t="s">
        <v>306</v>
      </c>
      <c r="H710" s="102">
        <v>44497</v>
      </c>
    </row>
    <row r="711" spans="1:9">
      <c r="A711" s="87" t="s">
        <v>115</v>
      </c>
      <c r="B711" s="87">
        <v>3558</v>
      </c>
      <c r="C711" s="87" t="s">
        <v>127</v>
      </c>
      <c r="D711" s="102">
        <v>44497</v>
      </c>
      <c r="E711" s="87">
        <v>5500</v>
      </c>
      <c r="F711" s="87" t="s">
        <v>157</v>
      </c>
      <c r="G711" s="87" t="s">
        <v>306</v>
      </c>
      <c r="H711" s="102">
        <v>44497</v>
      </c>
    </row>
    <row r="712" spans="1:9">
      <c r="A712" s="94" t="s">
        <v>250</v>
      </c>
      <c r="B712" s="94">
        <v>113</v>
      </c>
      <c r="C712" s="94" t="s">
        <v>132</v>
      </c>
      <c r="D712" s="95">
        <v>44516</v>
      </c>
      <c r="E712" s="94">
        <v>1000</v>
      </c>
      <c r="F712" s="94" t="s">
        <v>135</v>
      </c>
      <c r="G712" s="94" t="s">
        <v>308</v>
      </c>
      <c r="H712" s="95">
        <v>44516</v>
      </c>
      <c r="I712" t="s">
        <v>309</v>
      </c>
    </row>
    <row r="713" spans="1:9">
      <c r="A713" s="87" t="s">
        <v>115</v>
      </c>
      <c r="B713" s="87">
        <v>3559</v>
      </c>
      <c r="C713" s="87" t="s">
        <v>140</v>
      </c>
      <c r="D713" s="102">
        <v>44517</v>
      </c>
      <c r="E713" s="87">
        <f>2500*3</f>
        <v>7500</v>
      </c>
      <c r="F713" s="87" t="s">
        <v>25</v>
      </c>
      <c r="G713" s="87"/>
      <c r="H713" s="102">
        <v>44517</v>
      </c>
      <c r="I713" t="s">
        <v>312</v>
      </c>
    </row>
    <row r="714" spans="1:9">
      <c r="A714" s="87" t="s">
        <v>115</v>
      </c>
      <c r="B714" s="87">
        <v>3560</v>
      </c>
      <c r="C714" s="87" t="s">
        <v>170</v>
      </c>
      <c r="D714" s="102">
        <v>44528</v>
      </c>
      <c r="E714" s="87">
        <v>3200</v>
      </c>
      <c r="F714" s="87" t="s">
        <v>161</v>
      </c>
      <c r="G714" s="87" t="s">
        <v>313</v>
      </c>
      <c r="H714" s="102">
        <v>44529</v>
      </c>
    </row>
    <row r="715" spans="1:9">
      <c r="A715" s="87" t="s">
        <v>73</v>
      </c>
      <c r="B715" s="87">
        <v>1715</v>
      </c>
      <c r="C715" s="87" t="s">
        <v>275</v>
      </c>
      <c r="D715" s="102">
        <v>44528</v>
      </c>
      <c r="E715" s="87">
        <v>5000</v>
      </c>
      <c r="F715" s="87" t="s">
        <v>89</v>
      </c>
      <c r="G715" s="87" t="s">
        <v>313</v>
      </c>
      <c r="H715" s="102">
        <v>44529</v>
      </c>
    </row>
    <row r="716" spans="1:9">
      <c r="A716" s="87" t="s">
        <v>115</v>
      </c>
      <c r="B716" s="87">
        <v>3561</v>
      </c>
      <c r="C716" s="87" t="s">
        <v>131</v>
      </c>
      <c r="D716" s="102">
        <v>44528</v>
      </c>
      <c r="E716" s="87">
        <v>1100</v>
      </c>
      <c r="F716" s="87" t="s">
        <v>142</v>
      </c>
      <c r="G716" s="87" t="s">
        <v>313</v>
      </c>
      <c r="H716" s="102">
        <v>44529</v>
      </c>
    </row>
    <row r="717" spans="1:9">
      <c r="A717" s="87" t="s">
        <v>115</v>
      </c>
      <c r="B717" s="87">
        <v>3562</v>
      </c>
      <c r="C717" s="87" t="s">
        <v>128</v>
      </c>
      <c r="D717" s="102">
        <v>44528</v>
      </c>
      <c r="E717" s="87">
        <v>10200</v>
      </c>
      <c r="F717" s="87" t="s">
        <v>142</v>
      </c>
      <c r="G717" s="87" t="s">
        <v>313</v>
      </c>
      <c r="H717" s="102">
        <v>44529</v>
      </c>
    </row>
    <row r="718" spans="1:9">
      <c r="A718" s="87" t="s">
        <v>115</v>
      </c>
      <c r="B718" s="87">
        <v>3563</v>
      </c>
      <c r="C718" s="87" t="s">
        <v>134</v>
      </c>
      <c r="D718" s="102">
        <v>44529</v>
      </c>
      <c r="E718" s="87">
        <v>3100</v>
      </c>
      <c r="F718" s="87" t="s">
        <v>135</v>
      </c>
      <c r="G718" s="87" t="s">
        <v>313</v>
      </c>
      <c r="H718" s="102">
        <v>44529</v>
      </c>
    </row>
    <row r="719" spans="1:9">
      <c r="A719" s="87" t="s">
        <v>73</v>
      </c>
      <c r="B719" s="87">
        <v>1716</v>
      </c>
      <c r="C719" s="87" t="s">
        <v>109</v>
      </c>
      <c r="D719" s="102">
        <v>44529</v>
      </c>
      <c r="E719" s="87">
        <v>2700</v>
      </c>
      <c r="F719" s="87" t="s">
        <v>91</v>
      </c>
      <c r="G719" s="87" t="s">
        <v>313</v>
      </c>
      <c r="H719" s="102">
        <v>44529</v>
      </c>
    </row>
    <row r="720" spans="1:9">
      <c r="A720" s="87" t="s">
        <v>115</v>
      </c>
      <c r="B720" s="87">
        <v>3564</v>
      </c>
      <c r="C720" s="87" t="s">
        <v>147</v>
      </c>
      <c r="D720" s="102">
        <v>44529</v>
      </c>
      <c r="E720" s="87">
        <v>5400</v>
      </c>
      <c r="F720" s="87" t="s">
        <v>89</v>
      </c>
      <c r="G720" s="87" t="s">
        <v>313</v>
      </c>
      <c r="H720" s="102">
        <v>44529</v>
      </c>
    </row>
    <row r="721" spans="1:8">
      <c r="A721" s="87" t="s">
        <v>115</v>
      </c>
      <c r="B721" s="87">
        <v>3565</v>
      </c>
      <c r="C721" s="87" t="s">
        <v>130</v>
      </c>
      <c r="D721" s="102">
        <v>44529</v>
      </c>
      <c r="E721" s="87">
        <v>1500</v>
      </c>
      <c r="F721" s="87" t="s">
        <v>142</v>
      </c>
      <c r="G721" s="87" t="s">
        <v>313</v>
      </c>
      <c r="H721" s="102">
        <v>44529</v>
      </c>
    </row>
    <row r="722" spans="1:8">
      <c r="A722" s="87" t="s">
        <v>115</v>
      </c>
      <c r="B722" s="87">
        <v>3566</v>
      </c>
      <c r="C722" s="137" t="s">
        <v>152</v>
      </c>
      <c r="D722" s="102">
        <v>44529</v>
      </c>
      <c r="E722" s="87">
        <v>3500</v>
      </c>
      <c r="F722" s="87" t="s">
        <v>164</v>
      </c>
      <c r="G722" s="87" t="s">
        <v>313</v>
      </c>
      <c r="H722" s="102">
        <v>44529</v>
      </c>
    </row>
    <row r="723" spans="1:8">
      <c r="A723" s="87" t="s">
        <v>73</v>
      </c>
      <c r="B723" s="87">
        <v>1717</v>
      </c>
      <c r="C723" s="87" t="s">
        <v>87</v>
      </c>
      <c r="D723" s="102">
        <v>44529</v>
      </c>
      <c r="E723" s="87">
        <v>1100</v>
      </c>
      <c r="F723" s="87" t="s">
        <v>91</v>
      </c>
      <c r="G723" s="87" t="s">
        <v>313</v>
      </c>
      <c r="H723" s="102">
        <v>44529</v>
      </c>
    </row>
    <row r="724" spans="1:8">
      <c r="A724" s="87" t="s">
        <v>115</v>
      </c>
      <c r="B724" s="87">
        <v>3567</v>
      </c>
      <c r="C724" s="87" t="s">
        <v>129</v>
      </c>
      <c r="D724" s="102">
        <v>44529</v>
      </c>
      <c r="E724" s="87">
        <v>500</v>
      </c>
      <c r="F724" s="87" t="s">
        <v>142</v>
      </c>
      <c r="G724" s="87" t="s">
        <v>313</v>
      </c>
      <c r="H724" s="102">
        <v>44529</v>
      </c>
    </row>
    <row r="725" spans="1:8">
      <c r="A725" s="87" t="s">
        <v>73</v>
      </c>
      <c r="B725" s="87">
        <v>1718</v>
      </c>
      <c r="C725" s="87" t="s">
        <v>292</v>
      </c>
      <c r="D725" s="102">
        <v>44530</v>
      </c>
      <c r="E725" s="87">
        <v>2700</v>
      </c>
      <c r="F725" s="87" t="s">
        <v>107</v>
      </c>
      <c r="G725" s="87" t="s">
        <v>313</v>
      </c>
      <c r="H725" s="92">
        <v>44530</v>
      </c>
    </row>
    <row r="726" spans="1:8">
      <c r="A726" s="87" t="s">
        <v>115</v>
      </c>
      <c r="B726" s="87">
        <v>3568</v>
      </c>
      <c r="C726" s="87" t="s">
        <v>132</v>
      </c>
      <c r="D726" s="102">
        <v>44530</v>
      </c>
      <c r="E726" s="87">
        <v>3800</v>
      </c>
      <c r="F726" s="87" t="s">
        <v>135</v>
      </c>
      <c r="G726" s="87" t="s">
        <v>313</v>
      </c>
      <c r="H726" s="92">
        <v>44530</v>
      </c>
    </row>
    <row r="727" spans="1:8">
      <c r="A727" s="87" t="s">
        <v>115</v>
      </c>
      <c r="B727" s="87">
        <v>3569</v>
      </c>
      <c r="C727" s="87" t="s">
        <v>141</v>
      </c>
      <c r="D727" s="102">
        <v>44530</v>
      </c>
      <c r="E727" s="87">
        <v>1900</v>
      </c>
      <c r="F727" s="87" t="s">
        <v>142</v>
      </c>
      <c r="G727" s="87" t="s">
        <v>313</v>
      </c>
      <c r="H727" s="92">
        <v>44530</v>
      </c>
    </row>
    <row r="728" spans="1:8">
      <c r="A728" s="87" t="s">
        <v>73</v>
      </c>
      <c r="B728" s="87">
        <v>1719</v>
      </c>
      <c r="C728" s="87" t="s">
        <v>207</v>
      </c>
      <c r="D728" s="102">
        <v>44530</v>
      </c>
      <c r="E728" s="87">
        <v>9000</v>
      </c>
      <c r="F728" s="87" t="s">
        <v>93</v>
      </c>
      <c r="G728" s="87" t="s">
        <v>313</v>
      </c>
      <c r="H728" s="102">
        <v>44530</v>
      </c>
    </row>
    <row r="729" spans="1:8">
      <c r="A729" s="87" t="s">
        <v>73</v>
      </c>
      <c r="B729" s="87">
        <v>1720</v>
      </c>
      <c r="C729" s="87" t="s">
        <v>81</v>
      </c>
      <c r="D729" s="102">
        <v>44530</v>
      </c>
      <c r="E729" s="87">
        <v>1800</v>
      </c>
      <c r="F729" s="87" t="s">
        <v>92</v>
      </c>
      <c r="G729" s="87" t="s">
        <v>313</v>
      </c>
      <c r="H729" s="102">
        <v>44530</v>
      </c>
    </row>
    <row r="730" spans="1:8">
      <c r="A730" s="87" t="s">
        <v>115</v>
      </c>
      <c r="B730" s="87">
        <v>3570</v>
      </c>
      <c r="C730" s="87" t="s">
        <v>137</v>
      </c>
      <c r="D730" s="102">
        <v>44530</v>
      </c>
      <c r="E730" s="87">
        <v>4000</v>
      </c>
      <c r="F730" s="87" t="s">
        <v>135</v>
      </c>
      <c r="G730" s="87" t="s">
        <v>313</v>
      </c>
      <c r="H730" s="102">
        <v>44530</v>
      </c>
    </row>
    <row r="731" spans="1:8">
      <c r="A731" s="87" t="s">
        <v>115</v>
      </c>
      <c r="B731" s="87">
        <v>3571</v>
      </c>
      <c r="C731" s="87" t="s">
        <v>149</v>
      </c>
      <c r="D731" s="102">
        <v>44530</v>
      </c>
      <c r="E731" s="87">
        <v>2600</v>
      </c>
      <c r="F731" s="87" t="s">
        <v>8</v>
      </c>
      <c r="G731" s="87" t="s">
        <v>313</v>
      </c>
      <c r="H731" s="102">
        <v>44530</v>
      </c>
    </row>
    <row r="732" spans="1:8">
      <c r="A732" s="87" t="s">
        <v>73</v>
      </c>
      <c r="B732" s="87">
        <v>1721</v>
      </c>
      <c r="C732" s="87" t="s">
        <v>99</v>
      </c>
      <c r="D732" s="102">
        <v>44530</v>
      </c>
      <c r="E732" s="87">
        <v>3500</v>
      </c>
      <c r="F732" s="87" t="s">
        <v>112</v>
      </c>
      <c r="G732" s="87" t="s">
        <v>313</v>
      </c>
      <c r="H732" s="102">
        <v>44530</v>
      </c>
    </row>
    <row r="733" spans="1:8">
      <c r="A733" s="87" t="s">
        <v>73</v>
      </c>
      <c r="B733" s="87">
        <v>1722</v>
      </c>
      <c r="C733" s="87" t="s">
        <v>80</v>
      </c>
      <c r="D733" s="102">
        <v>44530</v>
      </c>
      <c r="E733" s="87">
        <v>1600</v>
      </c>
      <c r="F733" s="87" t="s">
        <v>3</v>
      </c>
      <c r="G733" s="87" t="s">
        <v>313</v>
      </c>
      <c r="H733" s="102">
        <v>44530</v>
      </c>
    </row>
    <row r="734" spans="1:8">
      <c r="A734" s="87" t="s">
        <v>73</v>
      </c>
      <c r="B734" s="87">
        <v>1723</v>
      </c>
      <c r="C734" s="87" t="s">
        <v>96</v>
      </c>
      <c r="D734" s="102">
        <v>44530</v>
      </c>
      <c r="E734" s="87">
        <v>3500</v>
      </c>
      <c r="F734" s="87" t="s">
        <v>112</v>
      </c>
      <c r="G734" s="87" t="s">
        <v>313</v>
      </c>
      <c r="H734" s="102">
        <v>44530</v>
      </c>
    </row>
    <row r="735" spans="1:8">
      <c r="A735" s="87" t="s">
        <v>115</v>
      </c>
      <c r="B735" s="87">
        <v>3572</v>
      </c>
      <c r="C735" s="87" t="s">
        <v>148</v>
      </c>
      <c r="D735" s="102">
        <v>44530</v>
      </c>
      <c r="E735" s="87">
        <v>4100</v>
      </c>
      <c r="F735" s="87" t="s">
        <v>166</v>
      </c>
      <c r="G735" s="87" t="s">
        <v>313</v>
      </c>
      <c r="H735" s="102">
        <v>44530</v>
      </c>
    </row>
    <row r="736" spans="1:8">
      <c r="A736" s="87" t="s">
        <v>115</v>
      </c>
      <c r="B736" s="87">
        <v>3573</v>
      </c>
      <c r="C736" s="87" t="s">
        <v>138</v>
      </c>
      <c r="D736" s="102">
        <v>44530</v>
      </c>
      <c r="E736" s="87">
        <v>2700</v>
      </c>
      <c r="F736" s="87" t="s">
        <v>135</v>
      </c>
      <c r="G736" s="87" t="s">
        <v>313</v>
      </c>
      <c r="H736" s="102">
        <v>44530</v>
      </c>
    </row>
    <row r="737" spans="1:10">
      <c r="A737" s="87" t="s">
        <v>73</v>
      </c>
      <c r="B737" s="87">
        <v>1724</v>
      </c>
      <c r="C737" s="87" t="s">
        <v>79</v>
      </c>
      <c r="D737" s="102">
        <v>44530</v>
      </c>
      <c r="E737" s="87">
        <v>1600</v>
      </c>
      <c r="F737" s="87" t="s">
        <v>3</v>
      </c>
      <c r="G737" s="87" t="s">
        <v>313</v>
      </c>
      <c r="H737" s="102">
        <v>44530</v>
      </c>
    </row>
    <row r="738" spans="1:10">
      <c r="A738" s="87" t="s">
        <v>73</v>
      </c>
      <c r="B738" s="87">
        <v>1725</v>
      </c>
      <c r="C738" s="87" t="s">
        <v>106</v>
      </c>
      <c r="D738" s="102">
        <v>44530</v>
      </c>
      <c r="E738" s="87">
        <v>2700</v>
      </c>
      <c r="F738" s="87" t="s">
        <v>107</v>
      </c>
      <c r="G738" s="87" t="s">
        <v>313</v>
      </c>
      <c r="H738" s="102">
        <v>44530</v>
      </c>
    </row>
    <row r="739" spans="1:10">
      <c r="A739" s="87" t="s">
        <v>115</v>
      </c>
      <c r="B739" s="87">
        <v>3574</v>
      </c>
      <c r="C739" s="87" t="s">
        <v>237</v>
      </c>
      <c r="D739" s="102">
        <v>44530</v>
      </c>
      <c r="E739" s="87">
        <v>3600</v>
      </c>
      <c r="F739" s="87" t="s">
        <v>238</v>
      </c>
      <c r="G739" s="87" t="s">
        <v>313</v>
      </c>
      <c r="H739" s="102">
        <v>44530</v>
      </c>
    </row>
    <row r="740" spans="1:10">
      <c r="A740" s="87" t="s">
        <v>115</v>
      </c>
      <c r="B740" s="87">
        <v>3575</v>
      </c>
      <c r="C740" s="87" t="s">
        <v>146</v>
      </c>
      <c r="D740" s="102">
        <v>44530</v>
      </c>
      <c r="E740" s="87">
        <v>2000</v>
      </c>
      <c r="F740" s="87" t="s">
        <v>135</v>
      </c>
      <c r="G740" s="87" t="s">
        <v>313</v>
      </c>
      <c r="H740" s="102">
        <v>44530</v>
      </c>
      <c r="I740" t="s">
        <v>314</v>
      </c>
    </row>
    <row r="741" spans="1:10">
      <c r="A741" s="87" t="s">
        <v>73</v>
      </c>
      <c r="B741" s="87">
        <v>1726</v>
      </c>
      <c r="C741" s="87" t="s">
        <v>110</v>
      </c>
      <c r="D741" s="102">
        <v>44530</v>
      </c>
      <c r="E741" s="87">
        <v>2700</v>
      </c>
      <c r="F741" s="87" t="s">
        <v>107</v>
      </c>
      <c r="G741" s="87" t="s">
        <v>313</v>
      </c>
      <c r="H741" s="102">
        <v>44530</v>
      </c>
    </row>
    <row r="742" spans="1:10">
      <c r="A742" s="87" t="s">
        <v>115</v>
      </c>
      <c r="B742" s="87">
        <v>3576</v>
      </c>
      <c r="C742" s="87" t="s">
        <v>289</v>
      </c>
      <c r="D742" s="102">
        <v>44530</v>
      </c>
      <c r="E742" s="87">
        <v>2200</v>
      </c>
      <c r="F742" s="87" t="s">
        <v>290</v>
      </c>
      <c r="G742" s="87" t="s">
        <v>313</v>
      </c>
      <c r="H742" s="102">
        <v>44530</v>
      </c>
    </row>
    <row r="743" spans="1:10">
      <c r="A743" s="87" t="s">
        <v>115</v>
      </c>
      <c r="B743" s="87">
        <v>3577</v>
      </c>
      <c r="C743" s="87" t="s">
        <v>127</v>
      </c>
      <c r="D743" s="102">
        <v>44530</v>
      </c>
      <c r="E743" s="87">
        <v>5500</v>
      </c>
      <c r="F743" s="87" t="s">
        <v>157</v>
      </c>
      <c r="G743" s="87" t="s">
        <v>313</v>
      </c>
      <c r="H743" s="102">
        <v>44530</v>
      </c>
    </row>
    <row r="744" spans="1:10">
      <c r="A744" s="87" t="s">
        <v>115</v>
      </c>
      <c r="B744" s="87">
        <v>3578</v>
      </c>
      <c r="C744" s="87" t="s">
        <v>315</v>
      </c>
      <c r="D744" s="102">
        <v>44530</v>
      </c>
      <c r="E744" s="87">
        <f>3000*2</f>
        <v>6000</v>
      </c>
      <c r="F744" s="87" t="s">
        <v>157</v>
      </c>
      <c r="G744" s="87" t="s">
        <v>316</v>
      </c>
      <c r="H744" s="102">
        <v>44530</v>
      </c>
    </row>
    <row r="745" spans="1:10">
      <c r="A745" s="87" t="s">
        <v>115</v>
      </c>
      <c r="B745" s="87">
        <v>3579</v>
      </c>
      <c r="C745" s="129" t="s">
        <v>154</v>
      </c>
      <c r="D745" s="102">
        <v>44551</v>
      </c>
      <c r="E745" s="87">
        <f>2500*3</f>
        <v>7500</v>
      </c>
      <c r="F745" s="87" t="s">
        <v>168</v>
      </c>
      <c r="G745" s="87" t="s">
        <v>317</v>
      </c>
      <c r="H745" s="102">
        <v>44551</v>
      </c>
      <c r="J745" t="s">
        <v>264</v>
      </c>
    </row>
    <row r="746" spans="1:10">
      <c r="A746" s="87" t="s">
        <v>115</v>
      </c>
      <c r="B746" s="87">
        <v>3580</v>
      </c>
      <c r="C746" s="129" t="s">
        <v>153</v>
      </c>
      <c r="D746" s="102">
        <v>44551</v>
      </c>
      <c r="E746" s="87">
        <f>2100*3</f>
        <v>6300</v>
      </c>
      <c r="F746" s="87" t="s">
        <v>168</v>
      </c>
      <c r="G746" s="87" t="s">
        <v>317</v>
      </c>
      <c r="H746" s="102">
        <v>44551</v>
      </c>
    </row>
    <row r="747" spans="1:10">
      <c r="A747" s="87" t="s">
        <v>115</v>
      </c>
      <c r="B747" s="87">
        <v>3581</v>
      </c>
      <c r="C747" s="87" t="s">
        <v>170</v>
      </c>
      <c r="D747" s="102">
        <v>44553</v>
      </c>
      <c r="E747" s="87">
        <v>3200</v>
      </c>
      <c r="F747" s="87" t="s">
        <v>161</v>
      </c>
      <c r="G747" s="156" t="s">
        <v>318</v>
      </c>
      <c r="H747" s="102">
        <v>44553</v>
      </c>
    </row>
    <row r="748" spans="1:10">
      <c r="A748" s="87" t="s">
        <v>115</v>
      </c>
      <c r="B748" s="87">
        <v>3582</v>
      </c>
      <c r="C748" s="87" t="s">
        <v>190</v>
      </c>
      <c r="D748" s="102">
        <v>44557</v>
      </c>
      <c r="E748" s="87">
        <f>2100*3</f>
        <v>6300</v>
      </c>
      <c r="F748" s="87" t="s">
        <v>142</v>
      </c>
      <c r="G748" s="87" t="s">
        <v>317</v>
      </c>
      <c r="H748" s="102">
        <v>44557</v>
      </c>
    </row>
    <row r="749" spans="1:10">
      <c r="A749" s="87" t="s">
        <v>73</v>
      </c>
      <c r="B749" s="87">
        <v>1727</v>
      </c>
      <c r="C749" s="87" t="s">
        <v>275</v>
      </c>
      <c r="D749" s="102">
        <v>44557</v>
      </c>
      <c r="E749" s="87">
        <v>5000</v>
      </c>
      <c r="F749" s="87" t="s">
        <v>89</v>
      </c>
      <c r="G749" s="87" t="s">
        <v>318</v>
      </c>
      <c r="H749" s="102">
        <v>44557</v>
      </c>
    </row>
    <row r="750" spans="1:10">
      <c r="A750" s="87" t="s">
        <v>115</v>
      </c>
      <c r="B750" s="87">
        <v>3583</v>
      </c>
      <c r="C750" s="87" t="s">
        <v>131</v>
      </c>
      <c r="D750" s="102">
        <v>44557</v>
      </c>
      <c r="E750" s="87">
        <v>1100</v>
      </c>
      <c r="F750" s="87" t="s">
        <v>142</v>
      </c>
      <c r="G750" s="87" t="s">
        <v>318</v>
      </c>
      <c r="H750" s="102">
        <v>44557</v>
      </c>
    </row>
    <row r="751" spans="1:10">
      <c r="A751" s="87" t="s">
        <v>115</v>
      </c>
      <c r="B751" s="87">
        <v>3584</v>
      </c>
      <c r="C751" s="87" t="s">
        <v>128</v>
      </c>
      <c r="D751" s="102">
        <v>44557</v>
      </c>
      <c r="E751" s="87">
        <v>10200</v>
      </c>
      <c r="F751" s="87" t="s">
        <v>142</v>
      </c>
      <c r="G751" s="87" t="s">
        <v>318</v>
      </c>
      <c r="H751" s="102">
        <v>44557</v>
      </c>
    </row>
    <row r="752" spans="1:10">
      <c r="A752" s="87" t="s">
        <v>115</v>
      </c>
      <c r="B752" s="87">
        <v>3585</v>
      </c>
      <c r="C752" s="87" t="s">
        <v>134</v>
      </c>
      <c r="D752" s="102">
        <v>44557</v>
      </c>
      <c r="E752" s="87">
        <v>3100</v>
      </c>
      <c r="F752" s="87" t="s">
        <v>135</v>
      </c>
      <c r="G752" s="87" t="s">
        <v>318</v>
      </c>
      <c r="H752" s="102">
        <v>44557</v>
      </c>
    </row>
    <row r="753" spans="1:8">
      <c r="A753" s="87" t="s">
        <v>73</v>
      </c>
      <c r="B753" s="87">
        <v>1728</v>
      </c>
      <c r="C753" s="87" t="s">
        <v>109</v>
      </c>
      <c r="D753" s="102">
        <v>44557</v>
      </c>
      <c r="E753" s="87">
        <v>2700</v>
      </c>
      <c r="F753" s="87" t="s">
        <v>91</v>
      </c>
      <c r="G753" s="87" t="s">
        <v>318</v>
      </c>
      <c r="H753" s="102">
        <v>44557</v>
      </c>
    </row>
    <row r="754" spans="1:8">
      <c r="A754" s="87" t="s">
        <v>115</v>
      </c>
      <c r="B754" s="87">
        <v>3586</v>
      </c>
      <c r="C754" s="87" t="s">
        <v>147</v>
      </c>
      <c r="D754" s="102">
        <v>44557</v>
      </c>
      <c r="E754" s="87">
        <v>5400</v>
      </c>
      <c r="F754" s="87" t="s">
        <v>89</v>
      </c>
      <c r="G754" s="87" t="s">
        <v>318</v>
      </c>
      <c r="H754" s="102">
        <v>44557</v>
      </c>
    </row>
    <row r="755" spans="1:8">
      <c r="A755" s="87" t="s">
        <v>115</v>
      </c>
      <c r="B755" s="87">
        <v>3587</v>
      </c>
      <c r="C755" s="87" t="s">
        <v>293</v>
      </c>
      <c r="D755" s="102">
        <v>44557</v>
      </c>
      <c r="E755" s="87">
        <v>9000</v>
      </c>
      <c r="F755" s="87" t="s">
        <v>112</v>
      </c>
      <c r="G755" s="88" t="s">
        <v>317</v>
      </c>
      <c r="H755" s="102">
        <v>44557</v>
      </c>
    </row>
    <row r="756" spans="1:8">
      <c r="A756" s="87" t="s">
        <v>115</v>
      </c>
      <c r="B756" s="87">
        <v>3588</v>
      </c>
      <c r="C756" s="87" t="s">
        <v>130</v>
      </c>
      <c r="D756" s="102">
        <v>44557</v>
      </c>
      <c r="E756" s="87">
        <v>1500</v>
      </c>
      <c r="F756" s="87" t="s">
        <v>142</v>
      </c>
      <c r="G756" s="87" t="s">
        <v>318</v>
      </c>
      <c r="H756" s="102">
        <v>44557</v>
      </c>
    </row>
    <row r="757" spans="1:8">
      <c r="A757" s="87" t="s">
        <v>115</v>
      </c>
      <c r="B757" s="87">
        <v>3589</v>
      </c>
      <c r="C757" s="137" t="s">
        <v>152</v>
      </c>
      <c r="D757" s="102">
        <v>44557</v>
      </c>
      <c r="E757" s="87">
        <v>3500</v>
      </c>
      <c r="F757" s="87" t="s">
        <v>164</v>
      </c>
      <c r="G757" s="87" t="s">
        <v>318</v>
      </c>
      <c r="H757" s="102">
        <v>44557</v>
      </c>
    </row>
    <row r="758" spans="1:8">
      <c r="A758" s="87" t="s">
        <v>73</v>
      </c>
      <c r="B758" s="87">
        <v>1729</v>
      </c>
      <c r="C758" s="87" t="s">
        <v>87</v>
      </c>
      <c r="D758" s="102">
        <v>44557</v>
      </c>
      <c r="E758" s="87">
        <v>1100</v>
      </c>
      <c r="F758" s="87" t="s">
        <v>91</v>
      </c>
      <c r="G758" s="87" t="s">
        <v>318</v>
      </c>
      <c r="H758" s="102">
        <v>44557</v>
      </c>
    </row>
    <row r="759" spans="1:8">
      <c r="A759" s="87" t="s">
        <v>115</v>
      </c>
      <c r="B759" s="87">
        <v>3590</v>
      </c>
      <c r="C759" s="87" t="s">
        <v>129</v>
      </c>
      <c r="D759" s="102">
        <v>44557</v>
      </c>
      <c r="E759" s="87">
        <v>500</v>
      </c>
      <c r="F759" s="87" t="s">
        <v>142</v>
      </c>
      <c r="G759" s="87" t="s">
        <v>318</v>
      </c>
      <c r="H759" s="102">
        <v>44557</v>
      </c>
    </row>
    <row r="760" spans="1:8">
      <c r="A760" s="87" t="s">
        <v>73</v>
      </c>
      <c r="B760" s="87">
        <v>1730</v>
      </c>
      <c r="C760" s="87" t="s">
        <v>292</v>
      </c>
      <c r="D760" s="102">
        <v>44557</v>
      </c>
      <c r="E760" s="87">
        <v>2700</v>
      </c>
      <c r="F760" s="87" t="s">
        <v>107</v>
      </c>
      <c r="G760" s="87" t="s">
        <v>318</v>
      </c>
      <c r="H760" s="102">
        <v>44557</v>
      </c>
    </row>
    <row r="761" spans="1:8">
      <c r="A761" s="87" t="s">
        <v>115</v>
      </c>
      <c r="B761" s="87">
        <v>3591</v>
      </c>
      <c r="C761" s="87" t="s">
        <v>132</v>
      </c>
      <c r="D761" s="102">
        <v>44557</v>
      </c>
      <c r="E761" s="87">
        <v>3800</v>
      </c>
      <c r="F761" s="87" t="s">
        <v>135</v>
      </c>
      <c r="G761" s="87" t="s">
        <v>318</v>
      </c>
      <c r="H761" s="102">
        <v>44557</v>
      </c>
    </row>
    <row r="762" spans="1:8">
      <c r="A762" s="87" t="s">
        <v>115</v>
      </c>
      <c r="B762" s="87">
        <v>3592</v>
      </c>
      <c r="C762" s="87" t="s">
        <v>141</v>
      </c>
      <c r="D762" s="102">
        <v>44557</v>
      </c>
      <c r="E762" s="87">
        <v>1900</v>
      </c>
      <c r="F762" s="87" t="s">
        <v>142</v>
      </c>
      <c r="G762" s="87" t="s">
        <v>318</v>
      </c>
      <c r="H762" s="102">
        <v>44557</v>
      </c>
    </row>
    <row r="763" spans="1:8">
      <c r="A763" s="87" t="s">
        <v>73</v>
      </c>
      <c r="B763" s="87">
        <v>1731</v>
      </c>
      <c r="C763" s="87" t="s">
        <v>207</v>
      </c>
      <c r="D763" s="102">
        <v>44557</v>
      </c>
      <c r="E763" s="87">
        <v>9000</v>
      </c>
      <c r="F763" s="87" t="s">
        <v>93</v>
      </c>
      <c r="G763" s="87" t="s">
        <v>318</v>
      </c>
      <c r="H763" s="102">
        <v>44557</v>
      </c>
    </row>
    <row r="764" spans="1:8">
      <c r="A764" s="87" t="s">
        <v>73</v>
      </c>
      <c r="B764" s="87">
        <v>1732</v>
      </c>
      <c r="C764" s="87" t="s">
        <v>81</v>
      </c>
      <c r="D764" s="102">
        <v>44557</v>
      </c>
      <c r="E764" s="87">
        <v>1800</v>
      </c>
      <c r="F764" s="87" t="s">
        <v>92</v>
      </c>
      <c r="G764" s="87" t="s">
        <v>318</v>
      </c>
      <c r="H764" s="102">
        <v>44557</v>
      </c>
    </row>
    <row r="765" spans="1:8">
      <c r="A765" s="87" t="s">
        <v>115</v>
      </c>
      <c r="B765" s="87">
        <v>3593</v>
      </c>
      <c r="C765" s="87" t="s">
        <v>137</v>
      </c>
      <c r="D765" s="102">
        <v>44557</v>
      </c>
      <c r="E765" s="87">
        <v>4000</v>
      </c>
      <c r="F765" s="87" t="s">
        <v>135</v>
      </c>
      <c r="G765" s="87" t="s">
        <v>318</v>
      </c>
      <c r="H765" s="102">
        <v>44557</v>
      </c>
    </row>
    <row r="766" spans="1:8">
      <c r="A766" s="87" t="s">
        <v>115</v>
      </c>
      <c r="B766" s="87">
        <v>3594</v>
      </c>
      <c r="C766" s="87" t="s">
        <v>149</v>
      </c>
      <c r="D766" s="102">
        <v>44557</v>
      </c>
      <c r="E766" s="87">
        <v>2600</v>
      </c>
      <c r="F766" s="87" t="s">
        <v>8</v>
      </c>
      <c r="G766" s="87" t="s">
        <v>318</v>
      </c>
      <c r="H766" s="102">
        <v>44557</v>
      </c>
    </row>
    <row r="767" spans="1:8">
      <c r="A767" s="87" t="s">
        <v>73</v>
      </c>
      <c r="B767" s="87">
        <v>1733</v>
      </c>
      <c r="C767" s="87" t="s">
        <v>99</v>
      </c>
      <c r="D767" s="102">
        <v>44558</v>
      </c>
      <c r="E767" s="87">
        <v>3500</v>
      </c>
      <c r="F767" s="87" t="s">
        <v>112</v>
      </c>
      <c r="G767" s="87" t="s">
        <v>318</v>
      </c>
      <c r="H767" s="102">
        <v>44558</v>
      </c>
    </row>
    <row r="768" spans="1:8">
      <c r="A768" s="87" t="s">
        <v>73</v>
      </c>
      <c r="B768" s="87">
        <v>1734</v>
      </c>
      <c r="C768" s="87" t="s">
        <v>80</v>
      </c>
      <c r="D768" s="102">
        <v>44558</v>
      </c>
      <c r="E768" s="87">
        <v>1600</v>
      </c>
      <c r="F768" s="87" t="s">
        <v>3</v>
      </c>
      <c r="G768" s="87" t="s">
        <v>318</v>
      </c>
      <c r="H768" s="102">
        <v>44558</v>
      </c>
    </row>
    <row r="769" spans="1:9">
      <c r="A769" s="87" t="s">
        <v>73</v>
      </c>
      <c r="B769" s="87">
        <v>1735</v>
      </c>
      <c r="C769" s="87" t="s">
        <v>77</v>
      </c>
      <c r="D769" s="102">
        <v>44558</v>
      </c>
      <c r="E769" s="87">
        <v>2500</v>
      </c>
      <c r="F769" s="87" t="s">
        <v>91</v>
      </c>
      <c r="G769" s="87" t="s">
        <v>317</v>
      </c>
      <c r="H769" s="102">
        <v>44558</v>
      </c>
    </row>
    <row r="770" spans="1:9">
      <c r="A770" s="87" t="s">
        <v>73</v>
      </c>
      <c r="B770" s="87">
        <v>1736</v>
      </c>
      <c r="C770" s="87" t="s">
        <v>86</v>
      </c>
      <c r="D770" s="102">
        <v>44558</v>
      </c>
      <c r="E770" s="87">
        <v>4800</v>
      </c>
      <c r="F770" s="87" t="s">
        <v>8</v>
      </c>
      <c r="G770" s="87" t="s">
        <v>317</v>
      </c>
      <c r="H770" s="102">
        <v>44558</v>
      </c>
    </row>
    <row r="771" spans="1:9">
      <c r="A771" s="87" t="s">
        <v>73</v>
      </c>
      <c r="B771" s="87">
        <v>1737</v>
      </c>
      <c r="C771" s="87" t="s">
        <v>96</v>
      </c>
      <c r="D771" s="102">
        <v>44558</v>
      </c>
      <c r="E771" s="87">
        <v>3500</v>
      </c>
      <c r="F771" s="87" t="s">
        <v>112</v>
      </c>
      <c r="G771" s="87" t="s">
        <v>318</v>
      </c>
      <c r="H771" s="102">
        <v>44558</v>
      </c>
    </row>
    <row r="772" spans="1:9">
      <c r="A772" s="87" t="s">
        <v>115</v>
      </c>
      <c r="B772" s="87">
        <v>3595</v>
      </c>
      <c r="C772" s="87" t="s">
        <v>148</v>
      </c>
      <c r="D772" s="102">
        <v>44558</v>
      </c>
      <c r="E772" s="87">
        <v>4100</v>
      </c>
      <c r="F772" s="87" t="s">
        <v>166</v>
      </c>
      <c r="G772" s="87" t="s">
        <v>318</v>
      </c>
      <c r="H772" s="102">
        <v>44558</v>
      </c>
    </row>
    <row r="773" spans="1:9">
      <c r="A773" s="87" t="s">
        <v>115</v>
      </c>
      <c r="B773" s="87">
        <v>3596</v>
      </c>
      <c r="C773" s="87" t="s">
        <v>138</v>
      </c>
      <c r="D773" s="102">
        <v>44558</v>
      </c>
      <c r="E773" s="87">
        <v>2700</v>
      </c>
      <c r="F773" s="87" t="s">
        <v>135</v>
      </c>
      <c r="G773" s="87" t="s">
        <v>318</v>
      </c>
      <c r="H773" s="102">
        <v>44558</v>
      </c>
    </row>
    <row r="774" spans="1:9">
      <c r="A774" s="87" t="s">
        <v>73</v>
      </c>
      <c r="B774" s="87">
        <v>1738</v>
      </c>
      <c r="C774" s="87" t="s">
        <v>79</v>
      </c>
      <c r="D774" s="102">
        <v>44558</v>
      </c>
      <c r="E774" s="87">
        <v>1600</v>
      </c>
      <c r="F774" s="87" t="s">
        <v>3</v>
      </c>
      <c r="G774" s="87" t="s">
        <v>318</v>
      </c>
      <c r="H774" s="102">
        <v>44558</v>
      </c>
    </row>
    <row r="775" spans="1:9">
      <c r="A775" s="87" t="s">
        <v>73</v>
      </c>
      <c r="B775" s="87">
        <v>1739</v>
      </c>
      <c r="C775" s="87" t="s">
        <v>106</v>
      </c>
      <c r="D775" s="102">
        <v>44558</v>
      </c>
      <c r="E775" s="87">
        <v>2700</v>
      </c>
      <c r="F775" s="87" t="s">
        <v>107</v>
      </c>
      <c r="G775" s="87" t="s">
        <v>318</v>
      </c>
      <c r="H775" s="102">
        <v>44558</v>
      </c>
    </row>
    <row r="776" spans="1:9">
      <c r="A776" s="87" t="s">
        <v>115</v>
      </c>
      <c r="B776" s="87">
        <v>3597</v>
      </c>
      <c r="C776" s="87" t="s">
        <v>237</v>
      </c>
      <c r="D776" s="102">
        <v>44558</v>
      </c>
      <c r="E776" s="87">
        <v>3600</v>
      </c>
      <c r="F776" s="87" t="s">
        <v>238</v>
      </c>
      <c r="G776" s="87" t="s">
        <v>318</v>
      </c>
      <c r="H776" s="102">
        <v>44558</v>
      </c>
    </row>
    <row r="777" spans="1:9">
      <c r="A777" s="87" t="s">
        <v>115</v>
      </c>
      <c r="B777" s="87">
        <v>3598</v>
      </c>
      <c r="C777" s="87" t="s">
        <v>146</v>
      </c>
      <c r="D777" s="102">
        <v>44558</v>
      </c>
      <c r="E777" s="87">
        <v>2000</v>
      </c>
      <c r="F777" s="87" t="s">
        <v>135</v>
      </c>
      <c r="G777" s="87" t="s">
        <v>318</v>
      </c>
      <c r="H777" s="102">
        <v>44558</v>
      </c>
      <c r="I777" t="s">
        <v>319</v>
      </c>
    </row>
    <row r="778" spans="1:9">
      <c r="A778" s="87" t="s">
        <v>115</v>
      </c>
      <c r="B778" s="87">
        <v>3599</v>
      </c>
      <c r="C778" s="87" t="s">
        <v>315</v>
      </c>
      <c r="D778" s="102">
        <v>44559</v>
      </c>
      <c r="E778" s="87">
        <v>3000</v>
      </c>
      <c r="F778" s="87" t="s">
        <v>157</v>
      </c>
      <c r="G778" s="87" t="s">
        <v>318</v>
      </c>
      <c r="H778" s="102">
        <v>44559</v>
      </c>
      <c r="I778" t="s">
        <v>320</v>
      </c>
    </row>
    <row r="779" spans="1:9">
      <c r="A779" s="87" t="s">
        <v>73</v>
      </c>
      <c r="B779" s="87">
        <v>1740</v>
      </c>
      <c r="C779" s="87" t="s">
        <v>101</v>
      </c>
      <c r="D779" s="102">
        <v>44559</v>
      </c>
      <c r="E779" s="87">
        <v>4600</v>
      </c>
      <c r="F779" s="87" t="s">
        <v>8</v>
      </c>
      <c r="G779" s="87" t="s">
        <v>317</v>
      </c>
      <c r="H779" s="102">
        <v>44559</v>
      </c>
    </row>
    <row r="780" spans="1:9">
      <c r="A780" s="87" t="s">
        <v>115</v>
      </c>
      <c r="B780" s="87">
        <v>3600</v>
      </c>
      <c r="C780" s="87" t="s">
        <v>155</v>
      </c>
      <c r="D780" s="102">
        <v>44559</v>
      </c>
      <c r="E780" s="139">
        <v>9000</v>
      </c>
      <c r="F780" s="87" t="s">
        <v>89</v>
      </c>
      <c r="G780" s="87" t="s">
        <v>317</v>
      </c>
      <c r="H780" s="102">
        <v>44559</v>
      </c>
    </row>
    <row r="781" spans="1:9">
      <c r="A781" s="87" t="s">
        <v>73</v>
      </c>
      <c r="B781" s="87">
        <v>1741</v>
      </c>
      <c r="C781" s="87" t="s">
        <v>110</v>
      </c>
      <c r="D781" s="102">
        <v>44559</v>
      </c>
      <c r="E781" s="87">
        <v>2700</v>
      </c>
      <c r="F781" s="87" t="s">
        <v>107</v>
      </c>
      <c r="G781" s="87" t="s">
        <v>318</v>
      </c>
      <c r="H781" s="102">
        <v>44559</v>
      </c>
    </row>
    <row r="782" spans="1:9">
      <c r="A782" s="87" t="s">
        <v>115</v>
      </c>
      <c r="B782" s="87">
        <v>3601</v>
      </c>
      <c r="C782" s="87" t="s">
        <v>289</v>
      </c>
      <c r="D782" s="102">
        <v>44559</v>
      </c>
      <c r="E782" s="87">
        <v>2200</v>
      </c>
      <c r="F782" s="87" t="s">
        <v>290</v>
      </c>
      <c r="G782" s="87" t="s">
        <v>318</v>
      </c>
      <c r="H782" s="102">
        <v>44559</v>
      </c>
    </row>
    <row r="783" spans="1:9">
      <c r="A783" s="87" t="s">
        <v>115</v>
      </c>
      <c r="B783" s="87">
        <v>3602</v>
      </c>
      <c r="C783" s="87" t="s">
        <v>127</v>
      </c>
      <c r="D783" s="102">
        <v>44559</v>
      </c>
      <c r="E783" s="87">
        <v>5500</v>
      </c>
      <c r="F783" s="87" t="s">
        <v>157</v>
      </c>
      <c r="G783" s="87" t="s">
        <v>318</v>
      </c>
      <c r="H783" s="102">
        <v>44559</v>
      </c>
    </row>
    <row r="784" spans="1:9">
      <c r="A784" s="87" t="s">
        <v>73</v>
      </c>
      <c r="B784" s="87">
        <v>1742</v>
      </c>
      <c r="C784" s="87" t="s">
        <v>321</v>
      </c>
      <c r="D784" s="102">
        <v>44559</v>
      </c>
      <c r="E784" s="87">
        <f>1500*3</f>
        <v>4500</v>
      </c>
      <c r="F784" s="87" t="s">
        <v>8</v>
      </c>
      <c r="G784" s="87" t="s">
        <v>317</v>
      </c>
      <c r="H784" s="102">
        <v>44559</v>
      </c>
    </row>
    <row r="785" spans="1:9">
      <c r="A785" s="87" t="s">
        <v>115</v>
      </c>
      <c r="B785" s="87">
        <v>3603</v>
      </c>
      <c r="C785" s="87" t="s">
        <v>140</v>
      </c>
      <c r="D785" s="102">
        <v>44559</v>
      </c>
      <c r="E785" s="87">
        <f>(1600*3)+(4000*3)+(1500*3)+(2500*3)</f>
        <v>28800</v>
      </c>
      <c r="F785" s="87" t="s">
        <v>25</v>
      </c>
      <c r="G785" s="87" t="s">
        <v>317</v>
      </c>
      <c r="H785" s="102">
        <v>44559</v>
      </c>
      <c r="I785" t="s">
        <v>322</v>
      </c>
    </row>
    <row r="786" spans="1:9">
      <c r="A786" s="87" t="s">
        <v>73</v>
      </c>
      <c r="B786" s="87">
        <v>1743</v>
      </c>
      <c r="C786" s="87" t="s">
        <v>140</v>
      </c>
      <c r="D786" s="102">
        <v>44559</v>
      </c>
      <c r="E786" s="87">
        <f>(4000*3)+(1000*3)</f>
        <v>15000</v>
      </c>
      <c r="F786" s="87" t="s">
        <v>25</v>
      </c>
      <c r="G786" s="87" t="s">
        <v>317</v>
      </c>
      <c r="H786" s="102">
        <v>44559</v>
      </c>
      <c r="I786" t="s">
        <v>323</v>
      </c>
    </row>
    <row r="787" spans="1:9">
      <c r="A787" s="87" t="s">
        <v>115</v>
      </c>
      <c r="B787" s="87">
        <v>3604</v>
      </c>
      <c r="C787" s="87" t="s">
        <v>140</v>
      </c>
      <c r="D787" s="102">
        <v>44560</v>
      </c>
      <c r="E787" s="87">
        <f>500*4</f>
        <v>2000</v>
      </c>
      <c r="F787" s="87" t="s">
        <v>25</v>
      </c>
      <c r="G787" s="87" t="s">
        <v>324</v>
      </c>
      <c r="H787" s="102">
        <v>44560</v>
      </c>
      <c r="I787" t="s">
        <v>325</v>
      </c>
    </row>
    <row r="788" spans="1:9">
      <c r="A788" s="87" t="s">
        <v>115</v>
      </c>
      <c r="B788" s="87">
        <v>3605</v>
      </c>
      <c r="C788" s="87" t="s">
        <v>140</v>
      </c>
      <c r="D788" s="102">
        <v>44575</v>
      </c>
      <c r="E788" s="87">
        <f>2500*3</f>
        <v>7500</v>
      </c>
      <c r="F788" s="87" t="s">
        <v>25</v>
      </c>
      <c r="G788" s="87" t="s">
        <v>299</v>
      </c>
      <c r="H788" s="102">
        <v>44575</v>
      </c>
      <c r="I788" t="s">
        <v>326</v>
      </c>
    </row>
    <row r="789" spans="1:9">
      <c r="A789" s="87" t="s">
        <v>115</v>
      </c>
      <c r="B789" s="87">
        <v>3606</v>
      </c>
      <c r="C789" s="87" t="s">
        <v>170</v>
      </c>
      <c r="D789" s="102">
        <v>44589</v>
      </c>
      <c r="E789" s="87">
        <v>3200</v>
      </c>
      <c r="F789" s="87" t="s">
        <v>161</v>
      </c>
      <c r="G789" s="87" t="s">
        <v>327</v>
      </c>
      <c r="H789" s="102">
        <v>44589</v>
      </c>
    </row>
    <row r="790" spans="1:9">
      <c r="A790" s="87" t="s">
        <v>73</v>
      </c>
      <c r="B790" s="87">
        <v>1744</v>
      </c>
      <c r="C790" s="87" t="s">
        <v>275</v>
      </c>
      <c r="D790" s="102">
        <v>44589</v>
      </c>
      <c r="E790" s="87">
        <v>5000</v>
      </c>
      <c r="F790" s="87" t="s">
        <v>89</v>
      </c>
      <c r="G790" s="87" t="s">
        <v>327</v>
      </c>
      <c r="H790" s="102">
        <v>44589</v>
      </c>
    </row>
    <row r="791" spans="1:9">
      <c r="A791" s="87" t="s">
        <v>115</v>
      </c>
      <c r="B791" s="87">
        <v>3607</v>
      </c>
      <c r="C791" s="87" t="s">
        <v>131</v>
      </c>
      <c r="D791" s="102">
        <v>44589</v>
      </c>
      <c r="E791" s="87">
        <v>1100</v>
      </c>
      <c r="F791" s="87" t="s">
        <v>142</v>
      </c>
      <c r="G791" s="87" t="s">
        <v>327</v>
      </c>
      <c r="H791" s="102">
        <v>44589</v>
      </c>
    </row>
    <row r="792" spans="1:9">
      <c r="A792" s="87" t="s">
        <v>115</v>
      </c>
      <c r="B792" s="87">
        <v>3608</v>
      </c>
      <c r="C792" s="87" t="s">
        <v>128</v>
      </c>
      <c r="D792" s="102">
        <v>44589</v>
      </c>
      <c r="E792" s="87">
        <v>10200</v>
      </c>
      <c r="F792" s="87" t="s">
        <v>142</v>
      </c>
      <c r="G792" s="87" t="s">
        <v>327</v>
      </c>
      <c r="H792" s="102">
        <v>44589</v>
      </c>
    </row>
    <row r="793" spans="1:9">
      <c r="A793" s="87" t="s">
        <v>115</v>
      </c>
      <c r="B793" s="87">
        <v>3609</v>
      </c>
      <c r="C793" s="87" t="s">
        <v>134</v>
      </c>
      <c r="D793" s="102">
        <v>44589</v>
      </c>
      <c r="E793" s="87">
        <v>3100</v>
      </c>
      <c r="F793" s="87" t="s">
        <v>135</v>
      </c>
      <c r="G793" s="87" t="s">
        <v>327</v>
      </c>
      <c r="H793" s="102">
        <v>44589</v>
      </c>
    </row>
    <row r="794" spans="1:9">
      <c r="A794" s="87" t="s">
        <v>73</v>
      </c>
      <c r="B794" s="87">
        <v>1745</v>
      </c>
      <c r="C794" s="87" t="s">
        <v>109</v>
      </c>
      <c r="D794" s="102">
        <v>44589</v>
      </c>
      <c r="E794" s="87">
        <v>2700</v>
      </c>
      <c r="F794" s="87" t="s">
        <v>91</v>
      </c>
      <c r="G794" s="87" t="s">
        <v>327</v>
      </c>
      <c r="H794" s="102">
        <v>44589</v>
      </c>
    </row>
    <row r="795" spans="1:9">
      <c r="A795" s="87" t="s">
        <v>115</v>
      </c>
      <c r="B795" s="87">
        <v>3610</v>
      </c>
      <c r="C795" s="87" t="s">
        <v>147</v>
      </c>
      <c r="D795" s="102">
        <v>44589</v>
      </c>
      <c r="E795" s="87">
        <v>5400</v>
      </c>
      <c r="F795" s="87" t="s">
        <v>89</v>
      </c>
      <c r="G795" s="87" t="s">
        <v>327</v>
      </c>
      <c r="H795" s="102">
        <v>44589</v>
      </c>
    </row>
    <row r="796" spans="1:9">
      <c r="A796" s="87" t="s">
        <v>115</v>
      </c>
      <c r="B796" s="87">
        <v>3611</v>
      </c>
      <c r="C796" s="87" t="s">
        <v>130</v>
      </c>
      <c r="D796" s="102">
        <v>44589</v>
      </c>
      <c r="E796" s="87">
        <v>1500</v>
      </c>
      <c r="F796" s="87" t="s">
        <v>142</v>
      </c>
      <c r="G796" s="87" t="s">
        <v>327</v>
      </c>
      <c r="H796" s="102">
        <v>44589</v>
      </c>
    </row>
    <row r="797" spans="1:9">
      <c r="A797" s="87" t="s">
        <v>115</v>
      </c>
      <c r="B797" s="87">
        <v>3612</v>
      </c>
      <c r="C797" s="137" t="s">
        <v>152</v>
      </c>
      <c r="D797" s="102">
        <v>44589</v>
      </c>
      <c r="E797" s="87">
        <v>3500</v>
      </c>
      <c r="F797" s="87" t="s">
        <v>164</v>
      </c>
      <c r="G797" s="87" t="s">
        <v>327</v>
      </c>
      <c r="H797" s="102">
        <v>44589</v>
      </c>
    </row>
    <row r="798" spans="1:9">
      <c r="A798" s="87" t="s">
        <v>73</v>
      </c>
      <c r="B798" s="87">
        <v>1746</v>
      </c>
      <c r="C798" s="87" t="s">
        <v>87</v>
      </c>
      <c r="D798" s="102">
        <v>44589</v>
      </c>
      <c r="E798" s="87">
        <v>1100</v>
      </c>
      <c r="F798" s="87" t="s">
        <v>91</v>
      </c>
      <c r="G798" s="87" t="s">
        <v>327</v>
      </c>
      <c r="H798" s="102">
        <v>44589</v>
      </c>
    </row>
    <row r="799" spans="1:9">
      <c r="A799" s="87" t="s">
        <v>115</v>
      </c>
      <c r="B799" s="87">
        <v>3613</v>
      </c>
      <c r="C799" s="87" t="s">
        <v>129</v>
      </c>
      <c r="D799" s="102">
        <v>44589</v>
      </c>
      <c r="E799" s="87">
        <v>500</v>
      </c>
      <c r="F799" s="87" t="s">
        <v>142</v>
      </c>
      <c r="G799" s="87" t="s">
        <v>327</v>
      </c>
      <c r="H799" s="102">
        <v>44589</v>
      </c>
    </row>
    <row r="800" spans="1:9">
      <c r="A800" s="87" t="s">
        <v>73</v>
      </c>
      <c r="B800" s="87">
        <v>1747</v>
      </c>
      <c r="C800" s="87" t="s">
        <v>292</v>
      </c>
      <c r="D800" s="102">
        <v>44589</v>
      </c>
      <c r="E800" s="87">
        <v>2700</v>
      </c>
      <c r="F800" s="87" t="s">
        <v>107</v>
      </c>
      <c r="G800" s="87" t="s">
        <v>327</v>
      </c>
      <c r="H800" s="102">
        <v>44589</v>
      </c>
    </row>
    <row r="801" spans="1:9">
      <c r="A801" s="157" t="s">
        <v>115</v>
      </c>
      <c r="B801" s="157">
        <v>3614</v>
      </c>
      <c r="C801" s="157" t="s">
        <v>132</v>
      </c>
      <c r="D801" s="158">
        <v>44589</v>
      </c>
      <c r="E801" s="157">
        <v>3800</v>
      </c>
      <c r="F801" s="157" t="s">
        <v>135</v>
      </c>
      <c r="G801" s="157" t="s">
        <v>327</v>
      </c>
      <c r="H801" s="158">
        <v>44589</v>
      </c>
      <c r="I801" t="s">
        <v>213</v>
      </c>
    </row>
    <row r="802" spans="1:9">
      <c r="A802" s="87" t="s">
        <v>115</v>
      </c>
      <c r="B802" s="87">
        <v>3615</v>
      </c>
      <c r="C802" s="87" t="s">
        <v>141</v>
      </c>
      <c r="D802" s="102">
        <v>44589</v>
      </c>
      <c r="E802" s="87">
        <v>1900</v>
      </c>
      <c r="F802" s="87" t="s">
        <v>142</v>
      </c>
      <c r="G802" s="87" t="s">
        <v>327</v>
      </c>
      <c r="H802" s="102">
        <v>44589</v>
      </c>
    </row>
    <row r="803" spans="1:9">
      <c r="A803" s="87" t="s">
        <v>73</v>
      </c>
      <c r="B803" s="87">
        <v>1748</v>
      </c>
      <c r="C803" s="87" t="s">
        <v>207</v>
      </c>
      <c r="D803" s="102">
        <v>44589</v>
      </c>
      <c r="E803" s="87">
        <v>9000</v>
      </c>
      <c r="F803" s="87" t="s">
        <v>93</v>
      </c>
      <c r="G803" s="87" t="s">
        <v>327</v>
      </c>
      <c r="H803" s="102">
        <v>44589</v>
      </c>
    </row>
    <row r="804" spans="1:9">
      <c r="A804" s="87" t="s">
        <v>73</v>
      </c>
      <c r="B804" s="87">
        <v>1749</v>
      </c>
      <c r="C804" s="87" t="s">
        <v>81</v>
      </c>
      <c r="D804" s="102">
        <v>44589</v>
      </c>
      <c r="E804" s="87">
        <v>1800</v>
      </c>
      <c r="F804" s="87" t="s">
        <v>92</v>
      </c>
      <c r="G804" s="87" t="s">
        <v>327</v>
      </c>
      <c r="H804" s="102">
        <v>44589</v>
      </c>
    </row>
    <row r="805" spans="1:9">
      <c r="A805" s="87" t="s">
        <v>115</v>
      </c>
      <c r="B805" s="87">
        <v>3616</v>
      </c>
      <c r="C805" s="87" t="s">
        <v>137</v>
      </c>
      <c r="D805" s="102">
        <v>44589</v>
      </c>
      <c r="E805" s="87">
        <v>4000</v>
      </c>
      <c r="F805" s="87" t="s">
        <v>135</v>
      </c>
      <c r="G805" s="87" t="s">
        <v>327</v>
      </c>
      <c r="H805" s="102">
        <v>44589</v>
      </c>
    </row>
    <row r="806" spans="1:9">
      <c r="A806" s="87" t="s">
        <v>115</v>
      </c>
      <c r="B806" s="87">
        <v>3617</v>
      </c>
      <c r="C806" s="87" t="s">
        <v>149</v>
      </c>
      <c r="D806" s="102">
        <v>44589</v>
      </c>
      <c r="E806" s="87">
        <v>2600</v>
      </c>
      <c r="F806" s="87" t="s">
        <v>8</v>
      </c>
      <c r="G806" s="87" t="s">
        <v>327</v>
      </c>
      <c r="H806" s="102">
        <v>44589</v>
      </c>
    </row>
    <row r="807" spans="1:9">
      <c r="A807" s="87" t="s">
        <v>73</v>
      </c>
      <c r="B807" s="87">
        <v>1750</v>
      </c>
      <c r="C807" s="87" t="s">
        <v>99</v>
      </c>
      <c r="D807" s="102">
        <v>44589</v>
      </c>
      <c r="E807" s="87">
        <v>3500</v>
      </c>
      <c r="F807" s="87" t="s">
        <v>112</v>
      </c>
      <c r="G807" s="87" t="s">
        <v>327</v>
      </c>
      <c r="H807" s="102">
        <v>44589</v>
      </c>
    </row>
    <row r="808" spans="1:9">
      <c r="A808" s="87" t="s">
        <v>73</v>
      </c>
      <c r="B808" s="87">
        <v>1751</v>
      </c>
      <c r="C808" s="87" t="s">
        <v>80</v>
      </c>
      <c r="D808" s="102">
        <v>44589</v>
      </c>
      <c r="E808" s="87">
        <v>1600</v>
      </c>
      <c r="F808" s="87" t="s">
        <v>3</v>
      </c>
      <c r="G808" s="87" t="s">
        <v>327</v>
      </c>
      <c r="H808" s="102">
        <v>44589</v>
      </c>
    </row>
    <row r="809" spans="1:9">
      <c r="A809" s="87" t="s">
        <v>73</v>
      </c>
      <c r="B809" s="87">
        <v>1752</v>
      </c>
      <c r="C809" s="87" t="s">
        <v>96</v>
      </c>
      <c r="D809" s="102">
        <v>44589</v>
      </c>
      <c r="E809" s="87">
        <v>3500</v>
      </c>
      <c r="F809" s="87" t="s">
        <v>112</v>
      </c>
      <c r="G809" s="87" t="s">
        <v>327</v>
      </c>
      <c r="H809" s="102">
        <v>44589</v>
      </c>
    </row>
    <row r="810" spans="1:9">
      <c r="A810" s="87" t="s">
        <v>115</v>
      </c>
      <c r="B810" s="87">
        <v>3618</v>
      </c>
      <c r="C810" s="87" t="s">
        <v>148</v>
      </c>
      <c r="D810" s="102">
        <v>44589</v>
      </c>
      <c r="E810" s="87">
        <v>4100</v>
      </c>
      <c r="F810" s="87" t="s">
        <v>166</v>
      </c>
      <c r="G810" s="87" t="s">
        <v>327</v>
      </c>
      <c r="H810" s="102">
        <v>44589</v>
      </c>
    </row>
    <row r="811" spans="1:9">
      <c r="A811" s="87" t="s">
        <v>115</v>
      </c>
      <c r="B811" s="87">
        <v>3619</v>
      </c>
      <c r="C811" s="87" t="s">
        <v>138</v>
      </c>
      <c r="D811" s="102">
        <v>44589</v>
      </c>
      <c r="E811" s="87">
        <v>2700</v>
      </c>
      <c r="F811" s="87" t="s">
        <v>135</v>
      </c>
      <c r="G811" s="87" t="s">
        <v>327</v>
      </c>
      <c r="H811" s="102">
        <v>44589</v>
      </c>
    </row>
    <row r="812" spans="1:9">
      <c r="A812" s="87" t="s">
        <v>73</v>
      </c>
      <c r="B812" s="87">
        <v>1753</v>
      </c>
      <c r="C812" s="87" t="s">
        <v>79</v>
      </c>
      <c r="D812" s="102">
        <v>44589</v>
      </c>
      <c r="E812" s="87">
        <v>1600</v>
      </c>
      <c r="F812" s="87" t="s">
        <v>3</v>
      </c>
      <c r="G812" s="87" t="s">
        <v>327</v>
      </c>
      <c r="H812" s="102">
        <v>44589</v>
      </c>
    </row>
    <row r="813" spans="1:9">
      <c r="A813" s="87" t="s">
        <v>73</v>
      </c>
      <c r="B813" s="87">
        <v>1754</v>
      </c>
      <c r="C813" s="87" t="s">
        <v>106</v>
      </c>
      <c r="D813" s="102">
        <v>44589</v>
      </c>
      <c r="E813" s="87">
        <v>2700</v>
      </c>
      <c r="F813" s="87" t="s">
        <v>107</v>
      </c>
      <c r="G813" s="87" t="s">
        <v>327</v>
      </c>
      <c r="H813" s="102">
        <v>44589</v>
      </c>
    </row>
    <row r="814" spans="1:9">
      <c r="A814" s="87" t="s">
        <v>115</v>
      </c>
      <c r="B814" s="87">
        <v>3620</v>
      </c>
      <c r="C814" s="87" t="s">
        <v>237</v>
      </c>
      <c r="D814" s="102">
        <v>44589</v>
      </c>
      <c r="E814" s="87">
        <v>3600</v>
      </c>
      <c r="F814" s="87" t="s">
        <v>238</v>
      </c>
      <c r="G814" s="87" t="s">
        <v>327</v>
      </c>
      <c r="H814" s="102">
        <v>44589</v>
      </c>
    </row>
    <row r="815" spans="1:9">
      <c r="A815" s="87" t="s">
        <v>115</v>
      </c>
      <c r="B815" s="87">
        <v>3621</v>
      </c>
      <c r="C815" s="87" t="s">
        <v>146</v>
      </c>
      <c r="D815" s="102">
        <v>44589</v>
      </c>
      <c r="E815" s="87">
        <v>2000</v>
      </c>
      <c r="F815" s="87" t="s">
        <v>8</v>
      </c>
      <c r="G815" s="87" t="s">
        <v>327</v>
      </c>
      <c r="H815" s="102">
        <v>44589</v>
      </c>
      <c r="I815" t="s">
        <v>328</v>
      </c>
    </row>
    <row r="816" spans="1:9">
      <c r="A816" s="87" t="s">
        <v>115</v>
      </c>
      <c r="B816" s="87">
        <v>3622</v>
      </c>
      <c r="C816" s="87" t="s">
        <v>315</v>
      </c>
      <c r="D816" s="102">
        <v>44589</v>
      </c>
      <c r="E816" s="87">
        <v>3000</v>
      </c>
      <c r="F816" s="87" t="s">
        <v>157</v>
      </c>
      <c r="G816" s="87" t="s">
        <v>327</v>
      </c>
      <c r="H816" s="102">
        <v>44589</v>
      </c>
    </row>
    <row r="817" spans="1:9">
      <c r="A817" s="87" t="s">
        <v>73</v>
      </c>
      <c r="B817" s="87">
        <v>1755</v>
      </c>
      <c r="C817" s="87" t="s">
        <v>110</v>
      </c>
      <c r="D817" s="102">
        <v>44589</v>
      </c>
      <c r="E817" s="87">
        <v>2700</v>
      </c>
      <c r="F817" s="87" t="s">
        <v>107</v>
      </c>
      <c r="G817" s="87" t="s">
        <v>327</v>
      </c>
      <c r="H817" s="102">
        <v>44589</v>
      </c>
    </row>
    <row r="818" spans="1:9">
      <c r="A818" s="87" t="s">
        <v>115</v>
      </c>
      <c r="B818" s="87">
        <v>3623</v>
      </c>
      <c r="C818" s="87" t="s">
        <v>289</v>
      </c>
      <c r="D818" s="102">
        <v>44589</v>
      </c>
      <c r="E818" s="87">
        <v>2200</v>
      </c>
      <c r="F818" s="87" t="s">
        <v>290</v>
      </c>
      <c r="G818" s="87" t="s">
        <v>327</v>
      </c>
      <c r="H818" s="102">
        <v>44589</v>
      </c>
    </row>
    <row r="819" spans="1:9">
      <c r="A819" s="87" t="s">
        <v>115</v>
      </c>
      <c r="B819" s="87">
        <v>3624</v>
      </c>
      <c r="C819" s="87" t="s">
        <v>127</v>
      </c>
      <c r="D819" s="102">
        <v>44589</v>
      </c>
      <c r="E819" s="87">
        <v>5500</v>
      </c>
      <c r="F819" s="87" t="s">
        <v>157</v>
      </c>
      <c r="G819" s="87" t="s">
        <v>327</v>
      </c>
      <c r="H819" s="102">
        <v>44589</v>
      </c>
    </row>
    <row r="820" spans="1:9">
      <c r="A820" s="87" t="s">
        <v>115</v>
      </c>
      <c r="B820" s="87">
        <v>3625</v>
      </c>
      <c r="C820" s="87" t="s">
        <v>140</v>
      </c>
      <c r="D820" s="102">
        <v>44592</v>
      </c>
      <c r="E820" s="87">
        <f>2500*3</f>
        <v>7500</v>
      </c>
      <c r="F820" s="87" t="s">
        <v>25</v>
      </c>
      <c r="G820" s="87" t="s">
        <v>317</v>
      </c>
      <c r="H820" s="102">
        <v>44592</v>
      </c>
      <c r="I820" t="s">
        <v>326</v>
      </c>
    </row>
    <row r="821" spans="1:9">
      <c r="A821" s="87" t="s">
        <v>250</v>
      </c>
      <c r="B821" s="87">
        <v>118</v>
      </c>
      <c r="C821" s="87" t="s">
        <v>140</v>
      </c>
      <c r="D821" s="102">
        <v>44593</v>
      </c>
      <c r="E821" s="87">
        <v>2000</v>
      </c>
      <c r="F821" s="87" t="s">
        <v>25</v>
      </c>
      <c r="G821" s="87" t="s">
        <v>308</v>
      </c>
      <c r="H821" s="102">
        <v>44593</v>
      </c>
    </row>
    <row r="822" spans="1:9">
      <c r="A822" s="87" t="s">
        <v>73</v>
      </c>
      <c r="B822" s="87">
        <v>1756</v>
      </c>
      <c r="C822" s="87" t="s">
        <v>275</v>
      </c>
      <c r="D822" s="102">
        <v>44620</v>
      </c>
      <c r="E822" s="87">
        <v>5000</v>
      </c>
      <c r="F822" s="87" t="s">
        <v>89</v>
      </c>
      <c r="G822" s="87" t="s">
        <v>329</v>
      </c>
      <c r="H822" s="102">
        <v>44620</v>
      </c>
    </row>
    <row r="823" spans="1:9">
      <c r="A823" s="87" t="s">
        <v>115</v>
      </c>
      <c r="B823" s="87">
        <v>3626</v>
      </c>
      <c r="C823" s="87" t="s">
        <v>170</v>
      </c>
      <c r="D823" s="102">
        <v>44620</v>
      </c>
      <c r="E823" s="87">
        <v>3200</v>
      </c>
      <c r="F823" s="87" t="s">
        <v>161</v>
      </c>
      <c r="G823" s="87" t="s">
        <v>329</v>
      </c>
      <c r="H823" s="102">
        <v>44620</v>
      </c>
    </row>
    <row r="824" spans="1:9">
      <c r="A824" s="87" t="s">
        <v>115</v>
      </c>
      <c r="B824" s="87">
        <v>3627</v>
      </c>
      <c r="C824" s="87" t="s">
        <v>131</v>
      </c>
      <c r="D824" s="102">
        <v>44620</v>
      </c>
      <c r="E824" s="87">
        <v>1100</v>
      </c>
      <c r="F824" s="87" t="s">
        <v>142</v>
      </c>
      <c r="G824" s="87" t="s">
        <v>329</v>
      </c>
      <c r="H824" s="102">
        <v>44620</v>
      </c>
    </row>
    <row r="825" spans="1:9">
      <c r="A825" s="87" t="s">
        <v>115</v>
      </c>
      <c r="B825" s="87">
        <v>3628</v>
      </c>
      <c r="C825" s="87" t="s">
        <v>128</v>
      </c>
      <c r="D825" s="102">
        <v>44620</v>
      </c>
      <c r="E825" s="87">
        <v>10200</v>
      </c>
      <c r="F825" s="87" t="s">
        <v>142</v>
      </c>
      <c r="G825" s="87" t="s">
        <v>329</v>
      </c>
      <c r="H825" s="102">
        <v>44620</v>
      </c>
    </row>
    <row r="826" spans="1:9">
      <c r="A826" s="87" t="s">
        <v>115</v>
      </c>
      <c r="B826" s="87">
        <v>3629</v>
      </c>
      <c r="C826" s="87" t="s">
        <v>134</v>
      </c>
      <c r="D826" s="102">
        <v>44620</v>
      </c>
      <c r="E826" s="87">
        <v>3100</v>
      </c>
      <c r="F826" s="87" t="s">
        <v>135</v>
      </c>
      <c r="G826" s="87" t="s">
        <v>329</v>
      </c>
      <c r="H826" s="102">
        <v>44620</v>
      </c>
    </row>
    <row r="827" spans="1:9">
      <c r="A827" s="87" t="s">
        <v>73</v>
      </c>
      <c r="B827" s="87">
        <v>1757</v>
      </c>
      <c r="C827" s="87" t="s">
        <v>109</v>
      </c>
      <c r="D827" s="102">
        <v>44620</v>
      </c>
      <c r="E827" s="87">
        <v>2700</v>
      </c>
      <c r="F827" s="87" t="s">
        <v>91</v>
      </c>
      <c r="G827" s="87" t="s">
        <v>329</v>
      </c>
      <c r="H827" s="102">
        <v>44620</v>
      </c>
    </row>
    <row r="828" spans="1:9">
      <c r="A828" s="87" t="s">
        <v>115</v>
      </c>
      <c r="B828" s="87">
        <v>3630</v>
      </c>
      <c r="C828" s="87" t="s">
        <v>147</v>
      </c>
      <c r="D828" s="102">
        <v>44620</v>
      </c>
      <c r="E828" s="87">
        <v>5400</v>
      </c>
      <c r="F828" s="87" t="s">
        <v>89</v>
      </c>
      <c r="G828" s="87" t="s">
        <v>329</v>
      </c>
      <c r="H828" s="102">
        <v>44620</v>
      </c>
    </row>
    <row r="829" spans="1:9">
      <c r="A829" s="87" t="s">
        <v>115</v>
      </c>
      <c r="B829" s="87">
        <v>3631</v>
      </c>
      <c r="C829" s="87" t="s">
        <v>130</v>
      </c>
      <c r="D829" s="102">
        <v>44620</v>
      </c>
      <c r="E829" s="87">
        <v>1500</v>
      </c>
      <c r="F829" s="87" t="s">
        <v>142</v>
      </c>
      <c r="G829" s="87" t="s">
        <v>329</v>
      </c>
      <c r="H829" s="102">
        <v>44620</v>
      </c>
    </row>
    <row r="830" spans="1:9">
      <c r="A830" s="87" t="s">
        <v>115</v>
      </c>
      <c r="B830" s="87">
        <v>3632</v>
      </c>
      <c r="C830" s="137" t="s">
        <v>152</v>
      </c>
      <c r="D830" s="102">
        <v>44620</v>
      </c>
      <c r="E830" s="87">
        <v>3500</v>
      </c>
      <c r="F830" s="87" t="s">
        <v>164</v>
      </c>
      <c r="G830" s="87" t="s">
        <v>329</v>
      </c>
      <c r="H830" s="102">
        <v>44620</v>
      </c>
    </row>
    <row r="831" spans="1:9">
      <c r="A831" s="87" t="s">
        <v>73</v>
      </c>
      <c r="B831" s="87">
        <v>1758</v>
      </c>
      <c r="C831" s="87" t="s">
        <v>87</v>
      </c>
      <c r="D831" s="102">
        <v>44620</v>
      </c>
      <c r="E831" s="87">
        <v>1100</v>
      </c>
      <c r="F831" s="87" t="s">
        <v>91</v>
      </c>
      <c r="G831" s="87" t="s">
        <v>329</v>
      </c>
      <c r="H831" s="102">
        <v>44620</v>
      </c>
    </row>
    <row r="832" spans="1:9">
      <c r="A832" s="87" t="s">
        <v>115</v>
      </c>
      <c r="B832" s="87">
        <v>3633</v>
      </c>
      <c r="C832" s="87" t="s">
        <v>129</v>
      </c>
      <c r="D832" s="102">
        <v>44620</v>
      </c>
      <c r="E832" s="87">
        <v>500</v>
      </c>
      <c r="F832" s="87" t="s">
        <v>142</v>
      </c>
      <c r="G832" s="87" t="s">
        <v>329</v>
      </c>
      <c r="H832" s="102">
        <v>44620</v>
      </c>
    </row>
    <row r="833" spans="1:9">
      <c r="A833" s="87" t="s">
        <v>73</v>
      </c>
      <c r="B833" s="87">
        <v>1759</v>
      </c>
      <c r="C833" s="87" t="s">
        <v>292</v>
      </c>
      <c r="D833" s="102">
        <v>44620</v>
      </c>
      <c r="E833" s="87">
        <v>2700</v>
      </c>
      <c r="F833" s="87" t="s">
        <v>107</v>
      </c>
      <c r="G833" s="87" t="s">
        <v>329</v>
      </c>
      <c r="H833" s="102">
        <v>44620</v>
      </c>
    </row>
    <row r="834" spans="1:9">
      <c r="A834" s="87" t="s">
        <v>115</v>
      </c>
      <c r="B834" s="87">
        <v>3634</v>
      </c>
      <c r="C834" s="87" t="s">
        <v>132</v>
      </c>
      <c r="D834" s="102">
        <v>44620</v>
      </c>
      <c r="E834" s="87">
        <v>3800</v>
      </c>
      <c r="F834" s="87" t="s">
        <v>135</v>
      </c>
      <c r="G834" s="87" t="s">
        <v>329</v>
      </c>
      <c r="H834" s="102">
        <v>44620</v>
      </c>
    </row>
    <row r="835" spans="1:9">
      <c r="A835" s="87" t="s">
        <v>115</v>
      </c>
      <c r="B835" s="87">
        <v>3635</v>
      </c>
      <c r="C835" s="87" t="s">
        <v>141</v>
      </c>
      <c r="D835" s="102">
        <v>44620</v>
      </c>
      <c r="E835" s="87">
        <v>1900</v>
      </c>
      <c r="F835" s="87" t="s">
        <v>142</v>
      </c>
      <c r="G835" s="87" t="s">
        <v>329</v>
      </c>
      <c r="H835" s="102">
        <v>44620</v>
      </c>
    </row>
    <row r="836" spans="1:9">
      <c r="A836" s="87" t="s">
        <v>73</v>
      </c>
      <c r="B836" s="87">
        <v>1760</v>
      </c>
      <c r="C836" s="87" t="s">
        <v>207</v>
      </c>
      <c r="D836" s="102">
        <v>44620</v>
      </c>
      <c r="E836" s="87">
        <v>9000</v>
      </c>
      <c r="F836" s="87" t="s">
        <v>93</v>
      </c>
      <c r="G836" s="87" t="s">
        <v>329</v>
      </c>
      <c r="H836" s="102">
        <v>44620</v>
      </c>
    </row>
    <row r="837" spans="1:9">
      <c r="A837" s="87" t="s">
        <v>73</v>
      </c>
      <c r="B837" s="87">
        <v>1761</v>
      </c>
      <c r="C837" s="87" t="s">
        <v>81</v>
      </c>
      <c r="D837" s="102">
        <v>44620</v>
      </c>
      <c r="E837" s="87">
        <v>1800</v>
      </c>
      <c r="F837" s="87" t="s">
        <v>92</v>
      </c>
      <c r="G837" s="87" t="s">
        <v>329</v>
      </c>
      <c r="H837" s="102">
        <v>44620</v>
      </c>
    </row>
    <row r="838" spans="1:9">
      <c r="A838" s="87" t="s">
        <v>115</v>
      </c>
      <c r="B838" s="87">
        <v>3636</v>
      </c>
      <c r="C838" s="87" t="s">
        <v>137</v>
      </c>
      <c r="D838" s="102">
        <v>44620</v>
      </c>
      <c r="E838" s="87">
        <v>4000</v>
      </c>
      <c r="F838" s="87" t="s">
        <v>135</v>
      </c>
      <c r="G838" s="87" t="s">
        <v>329</v>
      </c>
      <c r="H838" s="102">
        <v>44620</v>
      </c>
    </row>
    <row r="839" spans="1:9">
      <c r="A839" s="87" t="s">
        <v>115</v>
      </c>
      <c r="B839" s="87">
        <v>3637</v>
      </c>
      <c r="C839" s="87" t="s">
        <v>149</v>
      </c>
      <c r="D839" s="102">
        <v>44620</v>
      </c>
      <c r="E839" s="87">
        <v>2600</v>
      </c>
      <c r="F839" s="87" t="s">
        <v>8</v>
      </c>
      <c r="G839" s="87" t="s">
        <v>329</v>
      </c>
      <c r="H839" s="102">
        <v>44620</v>
      </c>
    </row>
    <row r="840" spans="1:9">
      <c r="A840" s="87" t="s">
        <v>73</v>
      </c>
      <c r="B840" s="87">
        <v>1762</v>
      </c>
      <c r="C840" s="87" t="s">
        <v>99</v>
      </c>
      <c r="D840" s="102">
        <v>44620</v>
      </c>
      <c r="E840" s="87">
        <v>3500</v>
      </c>
      <c r="F840" s="87" t="s">
        <v>112</v>
      </c>
      <c r="G840" s="87" t="s">
        <v>329</v>
      </c>
      <c r="H840" s="102">
        <v>44620</v>
      </c>
    </row>
    <row r="841" spans="1:9">
      <c r="A841" s="87" t="s">
        <v>73</v>
      </c>
      <c r="B841" s="87">
        <v>1763</v>
      </c>
      <c r="C841" s="87" t="s">
        <v>80</v>
      </c>
      <c r="D841" s="102">
        <v>44620</v>
      </c>
      <c r="E841" s="87">
        <v>1600</v>
      </c>
      <c r="F841" s="87" t="s">
        <v>3</v>
      </c>
      <c r="G841" s="87" t="s">
        <v>329</v>
      </c>
      <c r="H841" s="102">
        <v>44620</v>
      </c>
    </row>
    <row r="842" spans="1:9">
      <c r="A842" s="87" t="s">
        <v>73</v>
      </c>
      <c r="B842" s="87">
        <v>1764</v>
      </c>
      <c r="C842" s="87" t="s">
        <v>96</v>
      </c>
      <c r="D842" s="102">
        <v>44620</v>
      </c>
      <c r="E842" s="87">
        <v>3500</v>
      </c>
      <c r="F842" s="87" t="s">
        <v>112</v>
      </c>
      <c r="G842" s="87" t="s">
        <v>329</v>
      </c>
      <c r="H842" s="102">
        <v>44620</v>
      </c>
    </row>
    <row r="843" spans="1:9">
      <c r="A843" s="87" t="s">
        <v>115</v>
      </c>
      <c r="B843" s="87">
        <v>3638</v>
      </c>
      <c r="C843" s="87" t="s">
        <v>148</v>
      </c>
      <c r="D843" s="102">
        <v>44620</v>
      </c>
      <c r="E843" s="87">
        <v>4100</v>
      </c>
      <c r="F843" s="87" t="s">
        <v>166</v>
      </c>
      <c r="G843" s="87" t="s">
        <v>329</v>
      </c>
      <c r="H843" s="102">
        <v>44620</v>
      </c>
    </row>
    <row r="844" spans="1:9">
      <c r="A844" s="87" t="s">
        <v>115</v>
      </c>
      <c r="B844" s="87">
        <v>3639</v>
      </c>
      <c r="C844" s="87" t="s">
        <v>138</v>
      </c>
      <c r="D844" s="102">
        <v>44620</v>
      </c>
      <c r="E844" s="87">
        <v>2700</v>
      </c>
      <c r="F844" s="87" t="s">
        <v>135</v>
      </c>
      <c r="G844" s="87" t="s">
        <v>329</v>
      </c>
      <c r="H844" s="102">
        <v>44620</v>
      </c>
    </row>
    <row r="845" spans="1:9">
      <c r="A845" s="87" t="s">
        <v>73</v>
      </c>
      <c r="B845" s="87">
        <v>1765</v>
      </c>
      <c r="C845" s="87" t="s">
        <v>79</v>
      </c>
      <c r="D845" s="102">
        <v>44620</v>
      </c>
      <c r="E845" s="87">
        <v>1600</v>
      </c>
      <c r="F845" s="87" t="s">
        <v>3</v>
      </c>
      <c r="G845" s="87" t="s">
        <v>329</v>
      </c>
      <c r="H845" s="102">
        <v>44620</v>
      </c>
    </row>
    <row r="846" spans="1:9">
      <c r="A846" s="87" t="s">
        <v>73</v>
      </c>
      <c r="B846" s="87">
        <v>1766</v>
      </c>
      <c r="C846" s="87" t="s">
        <v>106</v>
      </c>
      <c r="D846" s="102">
        <v>44620</v>
      </c>
      <c r="E846" s="87">
        <v>2700</v>
      </c>
      <c r="F846" s="87" t="s">
        <v>107</v>
      </c>
      <c r="G846" s="87" t="s">
        <v>329</v>
      </c>
      <c r="H846" s="102">
        <v>44620</v>
      </c>
    </row>
    <row r="847" spans="1:9">
      <c r="A847" s="87" t="s">
        <v>115</v>
      </c>
      <c r="B847" s="87">
        <v>3640</v>
      </c>
      <c r="C847" s="87" t="s">
        <v>237</v>
      </c>
      <c r="D847" s="102">
        <v>44620</v>
      </c>
      <c r="E847" s="87">
        <v>3600</v>
      </c>
      <c r="F847" s="87" t="s">
        <v>238</v>
      </c>
      <c r="G847" s="87" t="s">
        <v>329</v>
      </c>
      <c r="H847" s="102">
        <v>44620</v>
      </c>
    </row>
    <row r="848" spans="1:9">
      <c r="A848" s="87" t="s">
        <v>115</v>
      </c>
      <c r="B848" s="87">
        <v>3641</v>
      </c>
      <c r="C848" s="87" t="s">
        <v>146</v>
      </c>
      <c r="D848" s="102">
        <v>44620</v>
      </c>
      <c r="E848" s="87">
        <v>2000</v>
      </c>
      <c r="F848" s="87" t="s">
        <v>8</v>
      </c>
      <c r="G848" s="87" t="s">
        <v>329</v>
      </c>
      <c r="H848" s="102">
        <v>44620</v>
      </c>
      <c r="I848" t="s">
        <v>328</v>
      </c>
    </row>
    <row r="849" spans="1:9">
      <c r="A849" s="87" t="s">
        <v>115</v>
      </c>
      <c r="B849" s="87">
        <v>3642</v>
      </c>
      <c r="C849" s="87" t="s">
        <v>315</v>
      </c>
      <c r="D849" s="102">
        <v>44620</v>
      </c>
      <c r="E849" s="87">
        <v>3000</v>
      </c>
      <c r="F849" s="87" t="s">
        <v>157</v>
      </c>
      <c r="G849" s="87" t="s">
        <v>329</v>
      </c>
      <c r="H849" s="102">
        <v>44620</v>
      </c>
    </row>
    <row r="850" spans="1:9">
      <c r="A850" s="87" t="s">
        <v>73</v>
      </c>
      <c r="B850" s="87">
        <v>1767</v>
      </c>
      <c r="C850" s="87" t="s">
        <v>110</v>
      </c>
      <c r="D850" s="102">
        <v>44620</v>
      </c>
      <c r="E850" s="87">
        <v>2700</v>
      </c>
      <c r="F850" s="87" t="s">
        <v>107</v>
      </c>
      <c r="G850" s="87" t="s">
        <v>329</v>
      </c>
      <c r="H850" s="102">
        <v>44620</v>
      </c>
    </row>
    <row r="851" spans="1:9">
      <c r="A851" s="87" t="s">
        <v>115</v>
      </c>
      <c r="B851" s="87">
        <v>3643</v>
      </c>
      <c r="C851" s="87" t="s">
        <v>289</v>
      </c>
      <c r="D851" s="102">
        <v>44620</v>
      </c>
      <c r="E851" s="87">
        <v>2200</v>
      </c>
      <c r="F851" s="87" t="s">
        <v>290</v>
      </c>
      <c r="G851" s="87" t="s">
        <v>329</v>
      </c>
      <c r="H851" s="102">
        <v>44620</v>
      </c>
    </row>
    <row r="852" spans="1:9">
      <c r="A852" s="87" t="s">
        <v>115</v>
      </c>
      <c r="B852" s="87">
        <v>3644</v>
      </c>
      <c r="C852" s="87" t="s">
        <v>127</v>
      </c>
      <c r="D852" s="102">
        <v>44620</v>
      </c>
      <c r="E852" s="87">
        <v>5500</v>
      </c>
      <c r="F852" s="87" t="s">
        <v>157</v>
      </c>
      <c r="G852" s="87" t="s">
        <v>329</v>
      </c>
      <c r="H852" s="102">
        <v>44620</v>
      </c>
    </row>
    <row r="853" spans="1:9">
      <c r="A853" s="87" t="s">
        <v>73</v>
      </c>
      <c r="B853" s="87">
        <v>1768</v>
      </c>
      <c r="C853" s="87" t="s">
        <v>330</v>
      </c>
      <c r="D853" s="102">
        <v>44631</v>
      </c>
      <c r="E853" s="87">
        <v>8400</v>
      </c>
      <c r="F853" s="87" t="s">
        <v>8</v>
      </c>
      <c r="G853" s="114" t="s">
        <v>331</v>
      </c>
      <c r="H853" s="102">
        <v>44631</v>
      </c>
    </row>
    <row r="854" spans="1:9">
      <c r="A854" s="87" t="s">
        <v>115</v>
      </c>
      <c r="B854" s="87">
        <v>3645</v>
      </c>
      <c r="C854" s="87" t="s">
        <v>235</v>
      </c>
      <c r="D854" s="102">
        <v>44631</v>
      </c>
      <c r="E854" s="87">
        <v>25000</v>
      </c>
      <c r="F854" s="87" t="s">
        <v>8</v>
      </c>
      <c r="G854" s="114" t="s">
        <v>331</v>
      </c>
      <c r="H854" s="102">
        <v>44631</v>
      </c>
      <c r="I854">
        <v>1000</v>
      </c>
    </row>
    <row r="855" spans="1:9">
      <c r="A855" s="87" t="s">
        <v>115</v>
      </c>
      <c r="B855" s="87">
        <v>3646</v>
      </c>
      <c r="C855" s="87" t="s">
        <v>234</v>
      </c>
      <c r="D855" s="102">
        <v>44631</v>
      </c>
      <c r="E855" s="87">
        <v>33000</v>
      </c>
      <c r="F855" s="87" t="s">
        <v>8</v>
      </c>
      <c r="G855" s="114" t="s">
        <v>331</v>
      </c>
      <c r="H855" s="102">
        <v>44631</v>
      </c>
      <c r="I855">
        <v>1000</v>
      </c>
    </row>
    <row r="856" spans="1:9">
      <c r="A856" s="87" t="s">
        <v>73</v>
      </c>
      <c r="B856" s="87">
        <v>1769</v>
      </c>
      <c r="C856" s="87" t="s">
        <v>230</v>
      </c>
      <c r="D856" s="102">
        <v>44631</v>
      </c>
      <c r="E856" s="87">
        <f>17000+600</f>
        <v>17600</v>
      </c>
      <c r="F856" s="87" t="s">
        <v>231</v>
      </c>
      <c r="G856" s="114" t="s">
        <v>331</v>
      </c>
      <c r="H856" s="102">
        <v>44631</v>
      </c>
      <c r="I856">
        <v>600</v>
      </c>
    </row>
    <row r="857" spans="1:9">
      <c r="A857" s="87" t="s">
        <v>115</v>
      </c>
      <c r="B857" s="87">
        <v>3647</v>
      </c>
      <c r="C857" s="87" t="s">
        <v>233</v>
      </c>
      <c r="D857" s="102">
        <v>44631</v>
      </c>
      <c r="E857" s="87">
        <f>14300+600</f>
        <v>14900</v>
      </c>
      <c r="F857" s="87" t="s">
        <v>8</v>
      </c>
      <c r="G857" s="114" t="s">
        <v>331</v>
      </c>
      <c r="H857" s="102">
        <v>44631</v>
      </c>
      <c r="I857">
        <v>600</v>
      </c>
    </row>
    <row r="858" spans="1:9">
      <c r="A858" s="87" t="s">
        <v>115</v>
      </c>
      <c r="B858" s="87">
        <v>3648</v>
      </c>
      <c r="C858" s="129" t="s">
        <v>153</v>
      </c>
      <c r="D858" s="102">
        <v>44631</v>
      </c>
      <c r="E858" s="87">
        <f>2100*3</f>
        <v>6300</v>
      </c>
      <c r="F858" s="87" t="s">
        <v>168</v>
      </c>
      <c r="G858" s="114" t="s">
        <v>332</v>
      </c>
      <c r="H858" s="102">
        <v>44631</v>
      </c>
    </row>
    <row r="859" spans="1:9">
      <c r="A859" s="87" t="s">
        <v>115</v>
      </c>
      <c r="B859" s="87">
        <v>3649</v>
      </c>
      <c r="C859" s="129" t="s">
        <v>154</v>
      </c>
      <c r="D859" s="102">
        <v>44631</v>
      </c>
      <c r="E859" s="87">
        <f>2500*3</f>
        <v>7500</v>
      </c>
      <c r="F859" s="87" t="s">
        <v>168</v>
      </c>
      <c r="G859" s="114" t="s">
        <v>332</v>
      </c>
      <c r="H859" s="102">
        <v>44631</v>
      </c>
    </row>
    <row r="860" spans="1:9">
      <c r="A860" s="87" t="s">
        <v>115</v>
      </c>
      <c r="B860" s="87">
        <v>3650</v>
      </c>
      <c r="C860" s="87" t="s">
        <v>170</v>
      </c>
      <c r="D860" s="102">
        <v>44641</v>
      </c>
      <c r="E860" s="87">
        <v>3200</v>
      </c>
      <c r="F860" s="87" t="s">
        <v>161</v>
      </c>
      <c r="G860" s="114" t="s">
        <v>333</v>
      </c>
      <c r="H860" s="102">
        <v>44641</v>
      </c>
    </row>
    <row r="861" spans="1:9">
      <c r="A861" s="114" t="s">
        <v>115</v>
      </c>
      <c r="B861" s="114">
        <v>3651</v>
      </c>
      <c r="C861" s="114" t="s">
        <v>190</v>
      </c>
      <c r="D861" s="115">
        <v>44641</v>
      </c>
      <c r="E861" s="114">
        <f>3100*3</f>
        <v>9300</v>
      </c>
      <c r="F861" s="114" t="s">
        <v>142</v>
      </c>
      <c r="G861" s="114" t="s">
        <v>334</v>
      </c>
      <c r="H861" s="115">
        <v>44641</v>
      </c>
    </row>
    <row r="862" spans="1:9">
      <c r="A862" s="114" t="s">
        <v>73</v>
      </c>
      <c r="B862" s="114">
        <v>1770</v>
      </c>
      <c r="C862" s="114" t="s">
        <v>102</v>
      </c>
      <c r="D862" s="115">
        <v>44641</v>
      </c>
      <c r="E862" s="114">
        <v>5400</v>
      </c>
      <c r="F862" s="114" t="s">
        <v>8</v>
      </c>
      <c r="G862" s="114" t="s">
        <v>335</v>
      </c>
      <c r="H862" s="115">
        <v>44641</v>
      </c>
    </row>
    <row r="863" spans="1:9">
      <c r="A863" s="114" t="s">
        <v>73</v>
      </c>
      <c r="B863" s="114">
        <v>1771</v>
      </c>
      <c r="C863" s="87" t="s">
        <v>275</v>
      </c>
      <c r="D863" s="115">
        <v>44642</v>
      </c>
      <c r="E863" s="87">
        <v>5000</v>
      </c>
      <c r="F863" s="87" t="s">
        <v>89</v>
      </c>
      <c r="G863" s="114" t="s">
        <v>333</v>
      </c>
      <c r="H863" s="115">
        <v>44642</v>
      </c>
    </row>
    <row r="864" spans="1:9">
      <c r="A864" s="87" t="s">
        <v>115</v>
      </c>
      <c r="B864" s="114">
        <v>3652</v>
      </c>
      <c r="C864" s="87" t="s">
        <v>131</v>
      </c>
      <c r="D864" s="115">
        <v>44642</v>
      </c>
      <c r="E864" s="87">
        <v>1100</v>
      </c>
      <c r="F864" s="87" t="s">
        <v>142</v>
      </c>
      <c r="G864" s="114" t="s">
        <v>333</v>
      </c>
      <c r="H864" s="115">
        <v>44642</v>
      </c>
    </row>
    <row r="865" spans="1:8">
      <c r="A865" s="87" t="s">
        <v>115</v>
      </c>
      <c r="B865" s="114">
        <v>3653</v>
      </c>
      <c r="C865" s="87" t="s">
        <v>128</v>
      </c>
      <c r="D865" s="115">
        <v>44642</v>
      </c>
      <c r="E865" s="87">
        <v>10200</v>
      </c>
      <c r="F865" s="87" t="s">
        <v>142</v>
      </c>
      <c r="G865" s="114" t="s">
        <v>333</v>
      </c>
      <c r="H865" s="115">
        <v>44642</v>
      </c>
    </row>
    <row r="866" spans="1:8">
      <c r="A866" s="87" t="s">
        <v>115</v>
      </c>
      <c r="B866" s="114">
        <v>3654</v>
      </c>
      <c r="C866" s="87" t="s">
        <v>134</v>
      </c>
      <c r="D866" s="115">
        <v>44642</v>
      </c>
      <c r="E866" s="87">
        <v>3100</v>
      </c>
      <c r="F866" s="87" t="s">
        <v>135</v>
      </c>
      <c r="G866" s="114" t="s">
        <v>333</v>
      </c>
      <c r="H866" s="115">
        <v>44642</v>
      </c>
    </row>
    <row r="867" spans="1:8">
      <c r="A867" s="87" t="s">
        <v>73</v>
      </c>
      <c r="B867" s="114">
        <v>1772</v>
      </c>
      <c r="C867" s="87" t="s">
        <v>109</v>
      </c>
      <c r="D867" s="115">
        <v>44643</v>
      </c>
      <c r="E867" s="87">
        <v>2700</v>
      </c>
      <c r="F867" s="87" t="s">
        <v>91</v>
      </c>
      <c r="G867" s="114" t="s">
        <v>333</v>
      </c>
      <c r="H867" s="115">
        <v>44643</v>
      </c>
    </row>
    <row r="868" spans="1:8">
      <c r="A868" s="87" t="s">
        <v>115</v>
      </c>
      <c r="B868" s="114">
        <v>3655</v>
      </c>
      <c r="C868" s="87" t="s">
        <v>147</v>
      </c>
      <c r="D868" s="115">
        <v>44643</v>
      </c>
      <c r="E868" s="87">
        <v>5400</v>
      </c>
      <c r="F868" s="87" t="s">
        <v>89</v>
      </c>
      <c r="G868" s="114" t="s">
        <v>333</v>
      </c>
      <c r="H868" s="115">
        <v>44643</v>
      </c>
    </row>
    <row r="869" spans="1:8">
      <c r="A869" s="87" t="s">
        <v>115</v>
      </c>
      <c r="B869" s="114">
        <v>3656</v>
      </c>
      <c r="C869" s="87" t="s">
        <v>130</v>
      </c>
      <c r="D869" s="115">
        <v>44643</v>
      </c>
      <c r="E869" s="87">
        <v>1500</v>
      </c>
      <c r="F869" s="87" t="s">
        <v>142</v>
      </c>
      <c r="G869" s="114" t="s">
        <v>333</v>
      </c>
      <c r="H869" s="115">
        <v>44643</v>
      </c>
    </row>
    <row r="870" spans="1:8">
      <c r="A870" s="87" t="s">
        <v>115</v>
      </c>
      <c r="B870" s="114">
        <v>3657</v>
      </c>
      <c r="C870" s="137" t="s">
        <v>152</v>
      </c>
      <c r="D870" s="115">
        <v>44643</v>
      </c>
      <c r="E870" s="87">
        <v>3500</v>
      </c>
      <c r="F870" s="87" t="s">
        <v>164</v>
      </c>
      <c r="G870" s="114" t="s">
        <v>333</v>
      </c>
      <c r="H870" s="115">
        <v>44643</v>
      </c>
    </row>
    <row r="871" spans="1:8">
      <c r="A871" s="87" t="s">
        <v>73</v>
      </c>
      <c r="B871" s="114">
        <v>1773</v>
      </c>
      <c r="C871" s="87" t="s">
        <v>87</v>
      </c>
      <c r="D871" s="115">
        <v>44643</v>
      </c>
      <c r="E871" s="87">
        <v>1100</v>
      </c>
      <c r="F871" s="87" t="s">
        <v>91</v>
      </c>
      <c r="G871" s="114" t="s">
        <v>333</v>
      </c>
      <c r="H871" s="115">
        <v>44643</v>
      </c>
    </row>
    <row r="872" spans="1:8">
      <c r="A872" s="87" t="s">
        <v>115</v>
      </c>
      <c r="B872" s="114">
        <v>3658</v>
      </c>
      <c r="C872" s="87" t="s">
        <v>129</v>
      </c>
      <c r="D872" s="115">
        <v>44643</v>
      </c>
      <c r="E872" s="87">
        <v>500</v>
      </c>
      <c r="F872" s="87" t="s">
        <v>142</v>
      </c>
      <c r="G872" s="114" t="s">
        <v>333</v>
      </c>
      <c r="H872" s="115">
        <v>44643</v>
      </c>
    </row>
    <row r="873" spans="1:8">
      <c r="A873" s="87" t="s">
        <v>73</v>
      </c>
      <c r="B873" s="114">
        <v>1774</v>
      </c>
      <c r="C873" s="87" t="s">
        <v>292</v>
      </c>
      <c r="D873" s="115">
        <v>44645</v>
      </c>
      <c r="E873" s="87">
        <v>2700</v>
      </c>
      <c r="F873" s="87" t="s">
        <v>107</v>
      </c>
      <c r="G873" s="114" t="s">
        <v>333</v>
      </c>
      <c r="H873" s="115">
        <v>44645</v>
      </c>
    </row>
    <row r="874" spans="1:8">
      <c r="A874" s="87" t="s">
        <v>115</v>
      </c>
      <c r="B874" s="114">
        <v>3659</v>
      </c>
      <c r="C874" s="87" t="s">
        <v>132</v>
      </c>
      <c r="D874" s="115">
        <v>44645</v>
      </c>
      <c r="E874" s="87">
        <v>3800</v>
      </c>
      <c r="F874" s="87" t="s">
        <v>135</v>
      </c>
      <c r="G874" s="114" t="s">
        <v>333</v>
      </c>
      <c r="H874" s="115">
        <v>44645</v>
      </c>
    </row>
    <row r="875" spans="1:8">
      <c r="A875" s="87" t="s">
        <v>115</v>
      </c>
      <c r="B875" s="114">
        <v>3660</v>
      </c>
      <c r="C875" s="87" t="s">
        <v>141</v>
      </c>
      <c r="D875" s="115">
        <v>44645</v>
      </c>
      <c r="E875" s="87">
        <v>1900</v>
      </c>
      <c r="F875" s="87" t="s">
        <v>142</v>
      </c>
      <c r="G875" s="114" t="s">
        <v>333</v>
      </c>
      <c r="H875" s="115">
        <v>44645</v>
      </c>
    </row>
    <row r="876" spans="1:8">
      <c r="A876" s="114" t="s">
        <v>73</v>
      </c>
      <c r="B876" s="114">
        <v>1775</v>
      </c>
      <c r="C876" s="114" t="s">
        <v>321</v>
      </c>
      <c r="D876" s="115">
        <v>44645</v>
      </c>
      <c r="E876" s="114">
        <f>1500*3</f>
        <v>4500</v>
      </c>
      <c r="F876" s="114" t="s">
        <v>8</v>
      </c>
      <c r="G876" s="114" t="s">
        <v>332</v>
      </c>
      <c r="H876" s="115">
        <v>44645</v>
      </c>
    </row>
    <row r="877" spans="1:8">
      <c r="A877" s="114" t="s">
        <v>73</v>
      </c>
      <c r="B877" s="114">
        <v>1776</v>
      </c>
      <c r="C877" s="87" t="s">
        <v>207</v>
      </c>
      <c r="D877" s="115">
        <v>44645</v>
      </c>
      <c r="E877" s="87">
        <v>9000</v>
      </c>
      <c r="F877" s="87" t="s">
        <v>93</v>
      </c>
      <c r="G877" s="114" t="s">
        <v>333</v>
      </c>
      <c r="H877" s="115">
        <v>44645</v>
      </c>
    </row>
    <row r="878" spans="1:8">
      <c r="A878" s="114" t="s">
        <v>73</v>
      </c>
      <c r="B878" s="114">
        <v>1777</v>
      </c>
      <c r="C878" s="87" t="s">
        <v>81</v>
      </c>
      <c r="D878" s="115">
        <v>44645</v>
      </c>
      <c r="E878" s="87">
        <v>1800</v>
      </c>
      <c r="F878" s="87" t="s">
        <v>92</v>
      </c>
      <c r="G878" s="114" t="s">
        <v>333</v>
      </c>
      <c r="H878" s="115">
        <v>44645</v>
      </c>
    </row>
    <row r="879" spans="1:8">
      <c r="A879" s="114" t="s">
        <v>115</v>
      </c>
      <c r="B879" s="114">
        <v>3661</v>
      </c>
      <c r="C879" s="87" t="s">
        <v>137</v>
      </c>
      <c r="D879" s="115">
        <v>44645</v>
      </c>
      <c r="E879" s="87">
        <v>4000</v>
      </c>
      <c r="F879" s="87" t="s">
        <v>135</v>
      </c>
      <c r="G879" s="114" t="s">
        <v>333</v>
      </c>
      <c r="H879" s="115">
        <v>44645</v>
      </c>
    </row>
    <row r="880" spans="1:8">
      <c r="A880" s="114" t="s">
        <v>115</v>
      </c>
      <c r="B880" s="114">
        <v>3662</v>
      </c>
      <c r="C880" s="87" t="s">
        <v>149</v>
      </c>
      <c r="D880" s="115">
        <v>44645</v>
      </c>
      <c r="E880" s="87">
        <v>2600</v>
      </c>
      <c r="F880" s="87" t="s">
        <v>8</v>
      </c>
      <c r="G880" s="114" t="s">
        <v>333</v>
      </c>
      <c r="H880" s="115">
        <v>44645</v>
      </c>
    </row>
    <row r="881" spans="1:8">
      <c r="A881" s="114" t="s">
        <v>73</v>
      </c>
      <c r="B881" s="114">
        <v>1778</v>
      </c>
      <c r="C881" s="87" t="s">
        <v>99</v>
      </c>
      <c r="D881" s="115">
        <v>44645</v>
      </c>
      <c r="E881" s="87">
        <v>3500</v>
      </c>
      <c r="F881" s="87" t="s">
        <v>112</v>
      </c>
      <c r="G881" s="114" t="s">
        <v>333</v>
      </c>
      <c r="H881" s="115">
        <v>44645</v>
      </c>
    </row>
    <row r="882" spans="1:8">
      <c r="A882" s="114" t="s">
        <v>73</v>
      </c>
      <c r="B882" s="114">
        <v>1779</v>
      </c>
      <c r="C882" s="87" t="s">
        <v>80</v>
      </c>
      <c r="D882" s="115">
        <v>44645</v>
      </c>
      <c r="E882" s="87">
        <v>1600</v>
      </c>
      <c r="F882" s="87" t="s">
        <v>3</v>
      </c>
      <c r="G882" s="114" t="s">
        <v>333</v>
      </c>
      <c r="H882" s="115">
        <v>44645</v>
      </c>
    </row>
    <row r="883" spans="1:8">
      <c r="A883" s="114" t="s">
        <v>73</v>
      </c>
      <c r="B883" s="114">
        <v>1780</v>
      </c>
      <c r="C883" s="114" t="s">
        <v>77</v>
      </c>
      <c r="D883" s="115">
        <v>44652</v>
      </c>
      <c r="E883" s="114">
        <v>2500</v>
      </c>
      <c r="F883" s="114" t="s">
        <v>91</v>
      </c>
      <c r="G883" s="114" t="s">
        <v>334</v>
      </c>
      <c r="H883" s="115">
        <v>44645</v>
      </c>
    </row>
    <row r="884" spans="1:8">
      <c r="A884" s="114" t="s">
        <v>73</v>
      </c>
      <c r="B884" s="114">
        <v>1781</v>
      </c>
      <c r="C884" s="114" t="s">
        <v>86</v>
      </c>
      <c r="D884" s="115">
        <v>44646</v>
      </c>
      <c r="E884" s="114">
        <v>4800</v>
      </c>
      <c r="F884" s="114" t="s">
        <v>8</v>
      </c>
      <c r="G884" s="114" t="s">
        <v>334</v>
      </c>
      <c r="H884" s="115">
        <v>44646</v>
      </c>
    </row>
    <row r="885" spans="1:8">
      <c r="A885" s="114" t="s">
        <v>73</v>
      </c>
      <c r="B885" s="114">
        <v>1782</v>
      </c>
      <c r="C885" s="114" t="s">
        <v>96</v>
      </c>
      <c r="D885" s="115">
        <v>44646</v>
      </c>
      <c r="E885" s="114">
        <v>3500</v>
      </c>
      <c r="F885" s="114" t="s">
        <v>112</v>
      </c>
      <c r="G885" s="114" t="s">
        <v>333</v>
      </c>
      <c r="H885" s="115">
        <v>44646</v>
      </c>
    </row>
    <row r="886" spans="1:8">
      <c r="A886" s="114" t="s">
        <v>115</v>
      </c>
      <c r="B886" s="114">
        <v>3663</v>
      </c>
      <c r="C886" s="87" t="s">
        <v>148</v>
      </c>
      <c r="D886" s="115">
        <v>44646</v>
      </c>
      <c r="E886" s="87">
        <v>4100</v>
      </c>
      <c r="F886" s="87" t="s">
        <v>166</v>
      </c>
      <c r="G886" s="114" t="s">
        <v>333</v>
      </c>
      <c r="H886" s="115">
        <v>44646</v>
      </c>
    </row>
    <row r="887" spans="1:8">
      <c r="A887" s="114" t="s">
        <v>115</v>
      </c>
      <c r="B887" s="114">
        <v>3664</v>
      </c>
      <c r="C887" s="87" t="s">
        <v>138</v>
      </c>
      <c r="D887" s="115">
        <v>44646</v>
      </c>
      <c r="E887" s="87">
        <v>2700</v>
      </c>
      <c r="F887" s="87" t="s">
        <v>135</v>
      </c>
      <c r="G887" s="114" t="s">
        <v>333</v>
      </c>
      <c r="H887" s="115">
        <v>44646</v>
      </c>
    </row>
    <row r="888" spans="1:8">
      <c r="A888" s="114" t="s">
        <v>73</v>
      </c>
      <c r="B888" s="114">
        <v>1783</v>
      </c>
      <c r="C888" s="87" t="s">
        <v>79</v>
      </c>
      <c r="D888" s="115">
        <v>44646</v>
      </c>
      <c r="E888" s="87">
        <v>1600</v>
      </c>
      <c r="F888" s="87" t="s">
        <v>3</v>
      </c>
      <c r="G888" s="114" t="s">
        <v>333</v>
      </c>
      <c r="H888" s="115">
        <v>44646</v>
      </c>
    </row>
    <row r="889" spans="1:8">
      <c r="A889" s="114" t="s">
        <v>73</v>
      </c>
      <c r="B889" s="114">
        <v>1784</v>
      </c>
      <c r="C889" s="87" t="s">
        <v>106</v>
      </c>
      <c r="D889" s="115">
        <v>44646</v>
      </c>
      <c r="E889" s="87">
        <v>2700</v>
      </c>
      <c r="F889" s="87" t="s">
        <v>107</v>
      </c>
      <c r="G889" s="114" t="s">
        <v>333</v>
      </c>
      <c r="H889" s="115">
        <v>44646</v>
      </c>
    </row>
    <row r="890" spans="1:8">
      <c r="A890" s="114" t="s">
        <v>115</v>
      </c>
      <c r="B890" s="114">
        <v>3665</v>
      </c>
      <c r="C890" s="87" t="s">
        <v>237</v>
      </c>
      <c r="D890" s="115">
        <v>44646</v>
      </c>
      <c r="E890" s="87">
        <v>3600</v>
      </c>
      <c r="F890" s="87" t="s">
        <v>238</v>
      </c>
      <c r="G890" s="114" t="s">
        <v>333</v>
      </c>
      <c r="H890" s="115">
        <v>44646</v>
      </c>
    </row>
    <row r="891" spans="1:8">
      <c r="A891" s="114" t="s">
        <v>115</v>
      </c>
      <c r="B891" s="114">
        <v>3666</v>
      </c>
      <c r="C891" s="87" t="s">
        <v>146</v>
      </c>
      <c r="D891" s="115">
        <v>44646</v>
      </c>
      <c r="E891" s="87">
        <v>2000</v>
      </c>
      <c r="F891" s="87" t="s">
        <v>8</v>
      </c>
      <c r="G891" s="114" t="s">
        <v>333</v>
      </c>
      <c r="H891" s="115">
        <v>44646</v>
      </c>
    </row>
    <row r="892" spans="1:8">
      <c r="A892" s="114" t="s">
        <v>115</v>
      </c>
      <c r="B892" s="114">
        <v>3667</v>
      </c>
      <c r="C892" s="87" t="s">
        <v>315</v>
      </c>
      <c r="D892" s="115">
        <v>44646</v>
      </c>
      <c r="E892" s="87">
        <v>3000</v>
      </c>
      <c r="F892" s="87" t="s">
        <v>157</v>
      </c>
      <c r="G892" s="114" t="s">
        <v>333</v>
      </c>
      <c r="H892" s="115">
        <v>44646</v>
      </c>
    </row>
    <row r="893" spans="1:8">
      <c r="A893" s="114" t="s">
        <v>73</v>
      </c>
      <c r="B893" s="114">
        <v>1785</v>
      </c>
      <c r="C893" s="87" t="s">
        <v>101</v>
      </c>
      <c r="D893" s="115">
        <v>44646</v>
      </c>
      <c r="E893" s="87">
        <v>4600</v>
      </c>
      <c r="F893" s="87" t="s">
        <v>8</v>
      </c>
      <c r="G893" s="114" t="s">
        <v>334</v>
      </c>
      <c r="H893" s="115">
        <v>44646</v>
      </c>
    </row>
    <row r="894" spans="1:8">
      <c r="A894" s="114" t="s">
        <v>73</v>
      </c>
      <c r="B894" s="114">
        <v>1786</v>
      </c>
      <c r="C894" s="87" t="s">
        <v>110</v>
      </c>
      <c r="D894" s="115">
        <v>44646</v>
      </c>
      <c r="E894" s="87">
        <v>2700</v>
      </c>
      <c r="F894" s="87" t="s">
        <v>107</v>
      </c>
      <c r="G894" s="114" t="s">
        <v>333</v>
      </c>
      <c r="H894" s="115">
        <v>44646</v>
      </c>
    </row>
    <row r="895" spans="1:8">
      <c r="A895" s="114" t="s">
        <v>115</v>
      </c>
      <c r="B895" s="114">
        <v>3668</v>
      </c>
      <c r="C895" s="87" t="s">
        <v>289</v>
      </c>
      <c r="D895" s="115">
        <v>44646</v>
      </c>
      <c r="E895" s="87">
        <v>2200</v>
      </c>
      <c r="F895" s="87" t="s">
        <v>290</v>
      </c>
      <c r="G895" s="114" t="s">
        <v>333</v>
      </c>
      <c r="H895" s="115">
        <v>44646</v>
      </c>
    </row>
    <row r="896" spans="1:8">
      <c r="A896" s="87" t="s">
        <v>115</v>
      </c>
      <c r="B896" s="114">
        <v>3669</v>
      </c>
      <c r="C896" s="87" t="s">
        <v>127</v>
      </c>
      <c r="D896" s="115">
        <v>44646</v>
      </c>
      <c r="E896" s="87">
        <v>5500</v>
      </c>
      <c r="F896" s="87" t="s">
        <v>157</v>
      </c>
      <c r="G896" s="114" t="s">
        <v>333</v>
      </c>
      <c r="H896" s="115">
        <v>44646</v>
      </c>
    </row>
    <row r="897" spans="1:10">
      <c r="A897" s="114" t="s">
        <v>73</v>
      </c>
      <c r="B897" s="114">
        <v>1787</v>
      </c>
      <c r="C897" s="114" t="s">
        <v>321</v>
      </c>
      <c r="D897" s="115">
        <v>44650</v>
      </c>
      <c r="E897" s="114">
        <v>5000</v>
      </c>
      <c r="F897" s="114" t="s">
        <v>8</v>
      </c>
      <c r="G897" s="114" t="s">
        <v>336</v>
      </c>
      <c r="H897" s="115">
        <v>44650</v>
      </c>
    </row>
    <row r="898" spans="1:10">
      <c r="A898" s="114" t="s">
        <v>73</v>
      </c>
      <c r="B898" s="114">
        <v>1788</v>
      </c>
      <c r="C898" s="87" t="s">
        <v>140</v>
      </c>
      <c r="D898" s="115">
        <v>44656</v>
      </c>
      <c r="E898" s="87">
        <f>(4000*3)+(1000*3)</f>
        <v>15000</v>
      </c>
      <c r="F898" s="87" t="s">
        <v>25</v>
      </c>
      <c r="G898" s="87" t="s">
        <v>334</v>
      </c>
      <c r="H898" s="115"/>
      <c r="I898" t="s">
        <v>323</v>
      </c>
    </row>
    <row r="899" spans="1:10">
      <c r="A899" s="114" t="s">
        <v>115</v>
      </c>
      <c r="B899" s="114">
        <v>3670</v>
      </c>
      <c r="C899" s="87" t="s">
        <v>140</v>
      </c>
      <c r="D899" s="115">
        <v>44656</v>
      </c>
      <c r="E899" s="87">
        <f>(1600*3)+(4000*3)+(1500*3)</f>
        <v>21300</v>
      </c>
      <c r="F899" s="87" t="s">
        <v>25</v>
      </c>
      <c r="G899" s="87" t="s">
        <v>334</v>
      </c>
      <c r="H899" s="115"/>
      <c r="I899" t="s">
        <v>337</v>
      </c>
    </row>
    <row r="900" spans="1:10">
      <c r="A900" s="114" t="s">
        <v>115</v>
      </c>
      <c r="B900" s="114">
        <v>3671</v>
      </c>
      <c r="C900" s="87" t="s">
        <v>140</v>
      </c>
      <c r="D900" s="115">
        <v>44656</v>
      </c>
      <c r="E900" s="114">
        <f>(2500*3)+(500*3)</f>
        <v>9000</v>
      </c>
      <c r="F900" s="87" t="s">
        <v>25</v>
      </c>
      <c r="G900" s="87" t="s">
        <v>334</v>
      </c>
      <c r="H900" s="115"/>
      <c r="I900" t="s">
        <v>338</v>
      </c>
    </row>
    <row r="901" spans="1:10">
      <c r="A901" s="114" t="s">
        <v>73</v>
      </c>
      <c r="B901" s="114">
        <v>1789</v>
      </c>
      <c r="C901" s="87" t="s">
        <v>140</v>
      </c>
      <c r="D901" s="115">
        <v>44672</v>
      </c>
      <c r="E901" s="114">
        <f>7000+1000+8000+3000</f>
        <v>19000</v>
      </c>
      <c r="F901" s="87" t="s">
        <v>25</v>
      </c>
      <c r="G901" s="87"/>
      <c r="H901" s="115">
        <v>44672</v>
      </c>
      <c r="I901" t="s">
        <v>339</v>
      </c>
    </row>
    <row r="902" spans="1:10">
      <c r="A902" s="114" t="s">
        <v>73</v>
      </c>
      <c r="B902" s="114">
        <v>1790</v>
      </c>
      <c r="C902" s="114" t="s">
        <v>340</v>
      </c>
      <c r="D902" s="115">
        <v>44679</v>
      </c>
      <c r="E902" s="114">
        <v>5000</v>
      </c>
      <c r="F902" s="114" t="s">
        <v>8</v>
      </c>
      <c r="G902" s="114" t="s">
        <v>334</v>
      </c>
      <c r="H902" s="115">
        <v>44679</v>
      </c>
    </row>
    <row r="903" spans="1:10">
      <c r="A903" s="114" t="s">
        <v>115</v>
      </c>
      <c r="B903" s="114">
        <v>3672</v>
      </c>
      <c r="C903" s="114" t="s">
        <v>170</v>
      </c>
      <c r="D903" s="115">
        <v>44679</v>
      </c>
      <c r="E903" s="114">
        <v>3300</v>
      </c>
      <c r="F903" s="114" t="s">
        <v>161</v>
      </c>
      <c r="G903" s="159" t="s">
        <v>341</v>
      </c>
      <c r="H903" s="115">
        <v>44679</v>
      </c>
      <c r="I903" s="114"/>
      <c r="J903" t="s">
        <v>264</v>
      </c>
    </row>
    <row r="904" spans="1:10">
      <c r="A904" s="114" t="s">
        <v>73</v>
      </c>
      <c r="B904" s="114">
        <v>1791</v>
      </c>
      <c r="C904" s="114" t="s">
        <v>275</v>
      </c>
      <c r="D904" s="115">
        <v>44679</v>
      </c>
      <c r="E904" s="114">
        <v>5200</v>
      </c>
      <c r="F904" s="114" t="s">
        <v>89</v>
      </c>
      <c r="G904" s="159" t="s">
        <v>341</v>
      </c>
      <c r="H904" s="115">
        <v>44679</v>
      </c>
      <c r="I904" s="114"/>
      <c r="J904" t="s">
        <v>342</v>
      </c>
    </row>
    <row r="905" spans="1:10">
      <c r="A905" s="114" t="s">
        <v>115</v>
      </c>
      <c r="B905" s="114">
        <v>3673</v>
      </c>
      <c r="C905" s="114" t="s">
        <v>131</v>
      </c>
      <c r="D905" s="115">
        <v>44679</v>
      </c>
      <c r="E905" s="114">
        <v>1100</v>
      </c>
      <c r="F905" s="114" t="s">
        <v>142</v>
      </c>
      <c r="G905" s="159" t="s">
        <v>341</v>
      </c>
      <c r="H905" s="115">
        <v>44679</v>
      </c>
    </row>
    <row r="906" spans="1:10">
      <c r="A906" s="114" t="s">
        <v>115</v>
      </c>
      <c r="B906" s="114">
        <v>3674</v>
      </c>
      <c r="C906" s="114" t="s">
        <v>128</v>
      </c>
      <c r="D906" s="115">
        <v>44707</v>
      </c>
      <c r="E906" s="114">
        <f>10200+1000</f>
        <v>11200</v>
      </c>
      <c r="F906" s="114" t="s">
        <v>142</v>
      </c>
      <c r="G906" s="159" t="s">
        <v>341</v>
      </c>
      <c r="H906" s="115">
        <v>44707</v>
      </c>
      <c r="I906" s="114"/>
      <c r="J906" t="s">
        <v>343</v>
      </c>
    </row>
    <row r="907" spans="1:10">
      <c r="A907" s="114" t="s">
        <v>115</v>
      </c>
      <c r="B907" s="114">
        <v>3675</v>
      </c>
      <c r="C907" s="114" t="s">
        <v>134</v>
      </c>
      <c r="D907" s="115">
        <v>44679</v>
      </c>
      <c r="E907" s="114">
        <v>3200</v>
      </c>
      <c r="F907" s="114" t="s">
        <v>135</v>
      </c>
      <c r="G907" s="159" t="s">
        <v>341</v>
      </c>
      <c r="H907" s="115">
        <v>44679</v>
      </c>
      <c r="I907" s="114"/>
      <c r="J907" t="s">
        <v>264</v>
      </c>
    </row>
    <row r="908" spans="1:10">
      <c r="A908" s="114" t="s">
        <v>73</v>
      </c>
      <c r="B908" s="114">
        <v>1792</v>
      </c>
      <c r="C908" s="114" t="s">
        <v>109</v>
      </c>
      <c r="D908" s="115">
        <v>44679</v>
      </c>
      <c r="E908" s="114">
        <v>2800</v>
      </c>
      <c r="F908" s="114" t="s">
        <v>91</v>
      </c>
      <c r="G908" s="159" t="s">
        <v>341</v>
      </c>
      <c r="H908" s="115">
        <v>44679</v>
      </c>
      <c r="I908" s="114"/>
      <c r="J908" t="s">
        <v>264</v>
      </c>
    </row>
    <row r="909" spans="1:10">
      <c r="A909" s="114" t="s">
        <v>115</v>
      </c>
      <c r="B909" s="114">
        <v>3676</v>
      </c>
      <c r="C909" s="114" t="s">
        <v>147</v>
      </c>
      <c r="D909" s="115">
        <v>44679</v>
      </c>
      <c r="E909" s="114">
        <v>5600</v>
      </c>
      <c r="F909" s="114" t="s">
        <v>89</v>
      </c>
      <c r="G909" s="159" t="s">
        <v>341</v>
      </c>
      <c r="H909" s="115">
        <v>44679</v>
      </c>
      <c r="I909" s="114"/>
      <c r="J909" t="s">
        <v>342</v>
      </c>
    </row>
    <row r="910" spans="1:10">
      <c r="A910" s="114" t="s">
        <v>115</v>
      </c>
      <c r="B910" s="114">
        <v>3677</v>
      </c>
      <c r="C910" s="114" t="s">
        <v>130</v>
      </c>
      <c r="D910" s="115">
        <v>44679</v>
      </c>
      <c r="E910" s="114">
        <v>1500</v>
      </c>
      <c r="F910" s="114" t="s">
        <v>142</v>
      </c>
      <c r="G910" s="159" t="s">
        <v>341</v>
      </c>
      <c r="H910" s="115">
        <v>44679</v>
      </c>
      <c r="I910" s="114"/>
    </row>
    <row r="911" spans="1:10">
      <c r="A911" s="114" t="s">
        <v>115</v>
      </c>
      <c r="B911" s="114">
        <v>3678</v>
      </c>
      <c r="C911" s="160" t="s">
        <v>152</v>
      </c>
      <c r="D911" s="115">
        <v>44679</v>
      </c>
      <c r="E911" s="114">
        <v>3600</v>
      </c>
      <c r="F911" s="114" t="s">
        <v>164</v>
      </c>
      <c r="G911" s="159" t="s">
        <v>341</v>
      </c>
      <c r="H911" s="115">
        <v>44679</v>
      </c>
      <c r="J911" t="s">
        <v>264</v>
      </c>
    </row>
    <row r="912" spans="1:10">
      <c r="A912" s="114" t="s">
        <v>73</v>
      </c>
      <c r="B912" s="114">
        <v>1793</v>
      </c>
      <c r="C912" s="114" t="s">
        <v>87</v>
      </c>
      <c r="D912" s="115">
        <v>44679</v>
      </c>
      <c r="E912" s="114">
        <v>1100</v>
      </c>
      <c r="F912" s="114" t="s">
        <v>91</v>
      </c>
      <c r="G912" s="159" t="s">
        <v>341</v>
      </c>
      <c r="H912" s="115">
        <v>44679</v>
      </c>
      <c r="I912" s="114"/>
    </row>
    <row r="913" spans="1:10">
      <c r="A913" s="114" t="s">
        <v>115</v>
      </c>
      <c r="B913" s="114">
        <v>3679</v>
      </c>
      <c r="C913" s="114" t="s">
        <v>129</v>
      </c>
      <c r="D913" s="115">
        <v>44679</v>
      </c>
      <c r="E913" s="114">
        <v>500</v>
      </c>
      <c r="F913" s="114" t="s">
        <v>142</v>
      </c>
      <c r="G913" s="159" t="s">
        <v>341</v>
      </c>
      <c r="H913" s="115">
        <v>44679</v>
      </c>
      <c r="I913" s="114"/>
    </row>
    <row r="914" spans="1:10">
      <c r="A914" s="114" t="s">
        <v>73</v>
      </c>
      <c r="B914" s="114">
        <v>1794</v>
      </c>
      <c r="C914" s="114" t="s">
        <v>292</v>
      </c>
      <c r="D914" s="115">
        <v>44679</v>
      </c>
      <c r="E914" s="114">
        <v>2800</v>
      </c>
      <c r="F914" s="114" t="s">
        <v>107</v>
      </c>
      <c r="G914" s="159" t="s">
        <v>341</v>
      </c>
      <c r="H914" s="115">
        <v>44679</v>
      </c>
      <c r="I914" s="114"/>
      <c r="J914" t="s">
        <v>264</v>
      </c>
    </row>
    <row r="915" spans="1:10">
      <c r="A915" s="114" t="s">
        <v>115</v>
      </c>
      <c r="B915" s="114">
        <v>3680</v>
      </c>
      <c r="C915" s="114" t="s">
        <v>132</v>
      </c>
      <c r="D915" s="115">
        <v>44679</v>
      </c>
      <c r="E915" s="114">
        <v>3900</v>
      </c>
      <c r="F915" s="114" t="s">
        <v>135</v>
      </c>
      <c r="G915" s="159" t="s">
        <v>341</v>
      </c>
      <c r="H915" s="115">
        <v>44679</v>
      </c>
      <c r="I915" s="114"/>
      <c r="J915" t="s">
        <v>264</v>
      </c>
    </row>
    <row r="916" spans="1:10">
      <c r="A916" s="114" t="s">
        <v>115</v>
      </c>
      <c r="B916" s="114">
        <v>3681</v>
      </c>
      <c r="C916" s="114" t="s">
        <v>141</v>
      </c>
      <c r="D916" s="115">
        <v>44679</v>
      </c>
      <c r="E916" s="114">
        <v>2000</v>
      </c>
      <c r="F916" s="114" t="s">
        <v>142</v>
      </c>
      <c r="G916" s="159" t="s">
        <v>341</v>
      </c>
      <c r="H916" s="115">
        <v>44679</v>
      </c>
      <c r="I916" s="114"/>
      <c r="J916" t="s">
        <v>264</v>
      </c>
    </row>
    <row r="917" spans="1:10">
      <c r="A917" s="114" t="s">
        <v>73</v>
      </c>
      <c r="B917" s="114">
        <v>1795</v>
      </c>
      <c r="C917" s="114" t="s">
        <v>321</v>
      </c>
      <c r="D917" s="115">
        <v>44679</v>
      </c>
      <c r="E917" s="114">
        <v>2000</v>
      </c>
      <c r="F917" s="114" t="s">
        <v>8</v>
      </c>
      <c r="G917" s="159" t="s">
        <v>341</v>
      </c>
      <c r="H917" s="115">
        <v>44679</v>
      </c>
      <c r="I917" s="114"/>
    </row>
    <row r="918" spans="1:10">
      <c r="A918" s="114" t="s">
        <v>73</v>
      </c>
      <c r="B918" s="114">
        <v>1796</v>
      </c>
      <c r="C918" s="114" t="s">
        <v>81</v>
      </c>
      <c r="D918" s="115">
        <v>44679</v>
      </c>
      <c r="E918" s="114">
        <v>1800</v>
      </c>
      <c r="F918" s="114" t="s">
        <v>92</v>
      </c>
      <c r="G918" s="159" t="s">
        <v>341</v>
      </c>
      <c r="H918" s="115">
        <v>44679</v>
      </c>
      <c r="I918" s="114"/>
    </row>
    <row r="919" spans="1:10">
      <c r="A919" s="114" t="s">
        <v>115</v>
      </c>
      <c r="B919" s="114">
        <v>3682</v>
      </c>
      <c r="C919" s="114" t="s">
        <v>137</v>
      </c>
      <c r="D919" s="115">
        <v>44679</v>
      </c>
      <c r="E919" s="114">
        <v>4200</v>
      </c>
      <c r="F919" s="114" t="s">
        <v>135</v>
      </c>
      <c r="G919" s="159" t="s">
        <v>341</v>
      </c>
      <c r="H919" s="115">
        <v>44679</v>
      </c>
      <c r="I919" s="114"/>
      <c r="J919" t="s">
        <v>342</v>
      </c>
    </row>
    <row r="920" spans="1:10">
      <c r="A920" s="114" t="s">
        <v>115</v>
      </c>
      <c r="B920" s="114">
        <v>3683</v>
      </c>
      <c r="C920" s="114" t="s">
        <v>149</v>
      </c>
      <c r="D920" s="115">
        <v>44679</v>
      </c>
      <c r="E920" s="114">
        <v>2600</v>
      </c>
      <c r="F920" s="114" t="s">
        <v>8</v>
      </c>
      <c r="G920" s="159" t="s">
        <v>341</v>
      </c>
      <c r="H920" s="115">
        <v>44679</v>
      </c>
      <c r="I920" s="114"/>
    </row>
    <row r="921" spans="1:10">
      <c r="A921" s="114" t="s">
        <v>73</v>
      </c>
      <c r="B921" s="114">
        <v>1797</v>
      </c>
      <c r="C921" s="114" t="s">
        <v>99</v>
      </c>
      <c r="D921" s="115">
        <v>44679</v>
      </c>
      <c r="E921" s="114">
        <v>3600</v>
      </c>
      <c r="F921" s="114" t="s">
        <v>112</v>
      </c>
      <c r="G921" s="159" t="s">
        <v>341</v>
      </c>
      <c r="H921" s="115">
        <v>44679</v>
      </c>
      <c r="I921" s="114"/>
      <c r="J921" t="s">
        <v>264</v>
      </c>
    </row>
    <row r="922" spans="1:10">
      <c r="A922" s="114" t="s">
        <v>73</v>
      </c>
      <c r="B922" s="114">
        <v>1798</v>
      </c>
      <c r="C922" s="114" t="s">
        <v>80</v>
      </c>
      <c r="D922" s="115">
        <v>44679</v>
      </c>
      <c r="E922" s="114">
        <v>1600</v>
      </c>
      <c r="F922" s="114" t="s">
        <v>3</v>
      </c>
      <c r="G922" s="159" t="s">
        <v>341</v>
      </c>
      <c r="H922" s="115">
        <v>44679</v>
      </c>
      <c r="I922" s="114"/>
    </row>
    <row r="923" spans="1:10">
      <c r="A923" s="114" t="s">
        <v>73</v>
      </c>
      <c r="B923" s="114">
        <v>1799</v>
      </c>
      <c r="C923" s="114" t="s">
        <v>96</v>
      </c>
      <c r="D923" s="115">
        <v>44679</v>
      </c>
      <c r="E923" s="114">
        <v>3600</v>
      </c>
      <c r="F923" s="114" t="s">
        <v>112</v>
      </c>
      <c r="G923" s="159" t="s">
        <v>341</v>
      </c>
      <c r="H923" s="115">
        <v>44679</v>
      </c>
      <c r="I923" s="114"/>
      <c r="J923" t="s">
        <v>264</v>
      </c>
    </row>
    <row r="924" spans="1:10">
      <c r="A924" s="114" t="s">
        <v>115</v>
      </c>
      <c r="B924" s="114">
        <v>3684</v>
      </c>
      <c r="C924" s="114" t="s">
        <v>148</v>
      </c>
      <c r="D924" s="115">
        <v>44679</v>
      </c>
      <c r="E924" s="114">
        <v>4200</v>
      </c>
      <c r="F924" s="114" t="s">
        <v>166</v>
      </c>
      <c r="G924" s="159" t="s">
        <v>341</v>
      </c>
      <c r="H924" s="115">
        <v>44679</v>
      </c>
      <c r="I924" s="114"/>
      <c r="J924" t="s">
        <v>264</v>
      </c>
    </row>
    <row r="925" spans="1:10">
      <c r="A925" s="114" t="s">
        <v>115</v>
      </c>
      <c r="B925" s="114">
        <v>3685</v>
      </c>
      <c r="C925" s="114" t="s">
        <v>138</v>
      </c>
      <c r="D925" s="115">
        <v>44679</v>
      </c>
      <c r="E925" s="114">
        <v>2800</v>
      </c>
      <c r="F925" s="114" t="s">
        <v>135</v>
      </c>
      <c r="G925" s="159" t="s">
        <v>341</v>
      </c>
      <c r="H925" s="115">
        <v>44679</v>
      </c>
      <c r="I925" s="114"/>
      <c r="J925" t="s">
        <v>264</v>
      </c>
    </row>
    <row r="926" spans="1:10">
      <c r="A926" s="114" t="s">
        <v>73</v>
      </c>
      <c r="B926" s="114">
        <v>1800</v>
      </c>
      <c r="C926" s="114" t="s">
        <v>79</v>
      </c>
      <c r="D926" s="115">
        <v>44679</v>
      </c>
      <c r="E926" s="114">
        <v>1600</v>
      </c>
      <c r="F926" s="114" t="s">
        <v>3</v>
      </c>
      <c r="G926" s="159" t="s">
        <v>341</v>
      </c>
      <c r="H926" s="115">
        <v>44679</v>
      </c>
      <c r="I926" s="114"/>
    </row>
    <row r="927" spans="1:10">
      <c r="A927" s="114" t="s">
        <v>73</v>
      </c>
      <c r="B927" s="114">
        <v>1801</v>
      </c>
      <c r="C927" s="114" t="s">
        <v>106</v>
      </c>
      <c r="D927" s="115">
        <v>44679</v>
      </c>
      <c r="E927" s="114">
        <v>2800</v>
      </c>
      <c r="F927" s="114" t="s">
        <v>107</v>
      </c>
      <c r="G927" s="159" t="s">
        <v>341</v>
      </c>
      <c r="H927" s="115">
        <v>44679</v>
      </c>
      <c r="I927" s="114"/>
      <c r="J927" t="s">
        <v>264</v>
      </c>
    </row>
    <row r="928" spans="1:10">
      <c r="A928" s="114" t="s">
        <v>115</v>
      </c>
      <c r="B928" s="114">
        <v>3686</v>
      </c>
      <c r="C928" s="114" t="s">
        <v>146</v>
      </c>
      <c r="D928" s="115">
        <v>44679</v>
      </c>
      <c r="E928" s="114">
        <v>2000</v>
      </c>
      <c r="F928" s="114" t="s">
        <v>8</v>
      </c>
      <c r="G928" s="159" t="s">
        <v>341</v>
      </c>
      <c r="H928" s="115">
        <v>44679</v>
      </c>
    </row>
    <row r="929" spans="1:10">
      <c r="A929" s="114" t="s">
        <v>115</v>
      </c>
      <c r="B929" s="114">
        <v>3687</v>
      </c>
      <c r="C929" s="114" t="s">
        <v>315</v>
      </c>
      <c r="D929" s="115">
        <v>44679</v>
      </c>
      <c r="E929" s="114">
        <v>3000</v>
      </c>
      <c r="F929" s="114" t="s">
        <v>157</v>
      </c>
      <c r="G929" s="159" t="s">
        <v>341</v>
      </c>
      <c r="H929" s="115">
        <v>44679</v>
      </c>
      <c r="I929" s="114"/>
    </row>
    <row r="930" spans="1:10">
      <c r="A930" s="114" t="s">
        <v>73</v>
      </c>
      <c r="B930" s="114">
        <v>1802</v>
      </c>
      <c r="C930" s="114" t="s">
        <v>110</v>
      </c>
      <c r="D930" s="115">
        <v>44679</v>
      </c>
      <c r="E930" s="114">
        <v>2800</v>
      </c>
      <c r="F930" s="114" t="s">
        <v>107</v>
      </c>
      <c r="G930" s="159" t="s">
        <v>341</v>
      </c>
      <c r="H930" s="115">
        <v>44679</v>
      </c>
      <c r="I930" s="114"/>
      <c r="J930" t="s">
        <v>264</v>
      </c>
    </row>
    <row r="931" spans="1:10">
      <c r="A931" s="114" t="s">
        <v>115</v>
      </c>
      <c r="B931" s="114">
        <v>3688</v>
      </c>
      <c r="C931" s="114" t="s">
        <v>289</v>
      </c>
      <c r="D931" s="115">
        <v>44679</v>
      </c>
      <c r="E931" s="114">
        <v>2300</v>
      </c>
      <c r="F931" s="114" t="s">
        <v>290</v>
      </c>
      <c r="G931" s="159" t="s">
        <v>341</v>
      </c>
      <c r="H931" s="115">
        <v>44679</v>
      </c>
      <c r="I931" s="114"/>
      <c r="J931" t="s">
        <v>264</v>
      </c>
    </row>
    <row r="932" spans="1:10">
      <c r="A932" s="114" t="s">
        <v>115</v>
      </c>
      <c r="B932" s="114">
        <v>3689</v>
      </c>
      <c r="C932" s="114" t="s">
        <v>127</v>
      </c>
      <c r="D932" s="115">
        <v>44679</v>
      </c>
      <c r="E932" s="114">
        <v>5600</v>
      </c>
      <c r="F932" s="114" t="s">
        <v>157</v>
      </c>
      <c r="G932" s="159" t="s">
        <v>341</v>
      </c>
      <c r="H932" s="115">
        <v>44679</v>
      </c>
      <c r="I932" s="114"/>
      <c r="J932" t="s">
        <v>264</v>
      </c>
    </row>
    <row r="933" spans="1:10">
      <c r="A933" s="114" t="s">
        <v>115</v>
      </c>
      <c r="B933" s="114">
        <v>3690</v>
      </c>
      <c r="C933" s="114" t="s">
        <v>344</v>
      </c>
      <c r="D933" s="115">
        <v>44690</v>
      </c>
      <c r="E933" s="114">
        <v>3500</v>
      </c>
      <c r="F933" s="114" t="s">
        <v>8</v>
      </c>
      <c r="G933" s="159" t="s">
        <v>341</v>
      </c>
      <c r="H933" s="115">
        <v>44690</v>
      </c>
    </row>
    <row r="934" spans="1:10">
      <c r="A934" s="114" t="s">
        <v>115</v>
      </c>
      <c r="B934" s="114">
        <v>3691</v>
      </c>
      <c r="C934" s="114" t="s">
        <v>170</v>
      </c>
      <c r="D934" s="115">
        <v>44706</v>
      </c>
      <c r="E934" s="114">
        <v>3300</v>
      </c>
      <c r="F934" s="114" t="s">
        <v>161</v>
      </c>
      <c r="G934" s="159" t="s">
        <v>345</v>
      </c>
      <c r="H934" s="115">
        <v>44706</v>
      </c>
    </row>
    <row r="935" spans="1:10">
      <c r="A935" s="114" t="s">
        <v>73</v>
      </c>
      <c r="B935" s="114">
        <v>1803</v>
      </c>
      <c r="C935" s="114" t="s">
        <v>275</v>
      </c>
      <c r="D935" s="115">
        <v>44706</v>
      </c>
      <c r="E935" s="114">
        <v>5200</v>
      </c>
      <c r="F935" s="114" t="s">
        <v>89</v>
      </c>
      <c r="G935" s="159" t="s">
        <v>345</v>
      </c>
      <c r="H935" s="115">
        <v>44706</v>
      </c>
    </row>
    <row r="936" spans="1:10">
      <c r="A936" s="114" t="s">
        <v>115</v>
      </c>
      <c r="B936" s="114">
        <v>3692</v>
      </c>
      <c r="C936" s="114" t="s">
        <v>131</v>
      </c>
      <c r="D936" s="115">
        <v>44706</v>
      </c>
      <c r="E936" s="114">
        <v>1100</v>
      </c>
      <c r="F936" s="114" t="s">
        <v>142</v>
      </c>
      <c r="G936" s="159" t="s">
        <v>345</v>
      </c>
      <c r="H936" s="115">
        <v>44706</v>
      </c>
    </row>
    <row r="937" spans="1:10">
      <c r="A937" s="114" t="s">
        <v>115</v>
      </c>
      <c r="B937" s="114">
        <v>3693</v>
      </c>
      <c r="C937" s="114" t="s">
        <v>134</v>
      </c>
      <c r="D937" s="115">
        <v>44706</v>
      </c>
      <c r="E937" s="114">
        <v>3200</v>
      </c>
      <c r="F937" s="114" t="s">
        <v>135</v>
      </c>
      <c r="G937" s="159" t="s">
        <v>345</v>
      </c>
      <c r="H937" s="115">
        <v>44706</v>
      </c>
    </row>
    <row r="938" spans="1:10">
      <c r="A938" s="114" t="s">
        <v>73</v>
      </c>
      <c r="B938" s="114">
        <v>1804</v>
      </c>
      <c r="C938" s="114" t="s">
        <v>109</v>
      </c>
      <c r="D938" s="115">
        <v>44706</v>
      </c>
      <c r="E938" s="114">
        <v>2800</v>
      </c>
      <c r="F938" s="114" t="s">
        <v>91</v>
      </c>
      <c r="G938" s="159" t="s">
        <v>345</v>
      </c>
      <c r="H938" s="115">
        <v>44706</v>
      </c>
    </row>
    <row r="939" spans="1:10">
      <c r="A939" s="114" t="s">
        <v>115</v>
      </c>
      <c r="B939" s="114">
        <v>3694</v>
      </c>
      <c r="C939" s="114" t="s">
        <v>147</v>
      </c>
      <c r="D939" s="115">
        <v>44706</v>
      </c>
      <c r="E939" s="114">
        <v>5600</v>
      </c>
      <c r="F939" s="114" t="s">
        <v>89</v>
      </c>
      <c r="G939" s="159" t="s">
        <v>345</v>
      </c>
      <c r="H939" s="115">
        <v>44706</v>
      </c>
      <c r="J939" t="s">
        <v>346</v>
      </c>
    </row>
    <row r="940" spans="1:10">
      <c r="A940" s="114" t="s">
        <v>115</v>
      </c>
      <c r="B940" s="114">
        <v>3695</v>
      </c>
      <c r="C940" s="114" t="s">
        <v>130</v>
      </c>
      <c r="D940" s="115">
        <v>44706</v>
      </c>
      <c r="E940" s="114">
        <v>1500</v>
      </c>
      <c r="F940" s="114" t="s">
        <v>142</v>
      </c>
      <c r="G940" s="159" t="s">
        <v>345</v>
      </c>
      <c r="H940" s="115">
        <v>44706</v>
      </c>
    </row>
    <row r="941" spans="1:10">
      <c r="A941" s="114" t="s">
        <v>115</v>
      </c>
      <c r="B941" s="114">
        <v>3696</v>
      </c>
      <c r="C941" s="160" t="s">
        <v>152</v>
      </c>
      <c r="D941" s="115">
        <v>44706</v>
      </c>
      <c r="E941" s="114">
        <v>3600</v>
      </c>
      <c r="F941" s="114" t="s">
        <v>164</v>
      </c>
      <c r="G941" s="159" t="s">
        <v>345</v>
      </c>
      <c r="H941" s="115">
        <v>44706</v>
      </c>
    </row>
    <row r="942" spans="1:10">
      <c r="A942" s="114" t="s">
        <v>73</v>
      </c>
      <c r="B942" s="114">
        <v>1805</v>
      </c>
      <c r="C942" s="114" t="s">
        <v>87</v>
      </c>
      <c r="D942" s="115">
        <v>44706</v>
      </c>
      <c r="E942" s="114">
        <v>1100</v>
      </c>
      <c r="F942" s="114" t="s">
        <v>91</v>
      </c>
      <c r="G942" s="159" t="s">
        <v>345</v>
      </c>
      <c r="H942" s="115">
        <v>44706</v>
      </c>
    </row>
    <row r="943" spans="1:10">
      <c r="A943" s="114" t="s">
        <v>115</v>
      </c>
      <c r="B943" s="114">
        <v>3697</v>
      </c>
      <c r="C943" s="114" t="s">
        <v>129</v>
      </c>
      <c r="D943" s="115">
        <v>44706</v>
      </c>
      <c r="E943" s="114">
        <v>500</v>
      </c>
      <c r="F943" s="114" t="s">
        <v>142</v>
      </c>
      <c r="G943" s="159" t="s">
        <v>345</v>
      </c>
      <c r="H943" s="115">
        <v>44706</v>
      </c>
    </row>
    <row r="944" spans="1:10">
      <c r="A944" s="114" t="s">
        <v>73</v>
      </c>
      <c r="B944" s="114">
        <v>1806</v>
      </c>
      <c r="C944" s="114" t="s">
        <v>292</v>
      </c>
      <c r="D944" s="115">
        <v>44706</v>
      </c>
      <c r="E944" s="114">
        <v>2800</v>
      </c>
      <c r="F944" s="114" t="s">
        <v>107</v>
      </c>
      <c r="G944" s="159" t="s">
        <v>345</v>
      </c>
      <c r="H944" s="115">
        <v>44706</v>
      </c>
    </row>
    <row r="945" spans="1:8">
      <c r="A945" s="114" t="s">
        <v>115</v>
      </c>
      <c r="B945" s="114">
        <v>3698</v>
      </c>
      <c r="C945" s="114" t="s">
        <v>132</v>
      </c>
      <c r="D945" s="115">
        <v>44706</v>
      </c>
      <c r="E945" s="114">
        <v>3900</v>
      </c>
      <c r="F945" s="114" t="s">
        <v>135</v>
      </c>
      <c r="G945" s="159" t="s">
        <v>345</v>
      </c>
      <c r="H945" s="115">
        <v>44706</v>
      </c>
    </row>
    <row r="946" spans="1:8">
      <c r="A946" s="114" t="s">
        <v>115</v>
      </c>
      <c r="B946" s="114">
        <v>3699</v>
      </c>
      <c r="C946" s="114" t="s">
        <v>141</v>
      </c>
      <c r="D946" s="115">
        <v>44706</v>
      </c>
      <c r="E946" s="114">
        <v>2000</v>
      </c>
      <c r="F946" s="114" t="s">
        <v>142</v>
      </c>
      <c r="G946" s="159" t="s">
        <v>345</v>
      </c>
      <c r="H946" s="115">
        <v>44706</v>
      </c>
    </row>
    <row r="947" spans="1:8">
      <c r="A947" s="114" t="s">
        <v>73</v>
      </c>
      <c r="B947" s="114">
        <v>1807</v>
      </c>
      <c r="C947" s="114" t="s">
        <v>321</v>
      </c>
      <c r="D947" s="115">
        <v>44706</v>
      </c>
      <c r="E947" s="114">
        <v>2000</v>
      </c>
      <c r="F947" s="114" t="s">
        <v>8</v>
      </c>
      <c r="G947" s="159" t="s">
        <v>345</v>
      </c>
      <c r="H947" s="115">
        <v>44706</v>
      </c>
    </row>
    <row r="948" spans="1:8">
      <c r="A948" s="114" t="s">
        <v>73</v>
      </c>
      <c r="B948" s="114">
        <v>1808</v>
      </c>
      <c r="C948" s="114" t="s">
        <v>81</v>
      </c>
      <c r="D948" s="115">
        <v>44707</v>
      </c>
      <c r="E948" s="114">
        <v>1800</v>
      </c>
      <c r="F948" s="114" t="s">
        <v>92</v>
      </c>
      <c r="G948" s="159" t="s">
        <v>345</v>
      </c>
      <c r="H948" s="115">
        <v>44707</v>
      </c>
    </row>
    <row r="949" spans="1:8">
      <c r="A949" s="114" t="s">
        <v>115</v>
      </c>
      <c r="B949" s="114">
        <v>3700</v>
      </c>
      <c r="C949" s="114" t="s">
        <v>137</v>
      </c>
      <c r="D949" s="115">
        <v>44707</v>
      </c>
      <c r="E949" s="114">
        <v>4200</v>
      </c>
      <c r="F949" s="114" t="s">
        <v>135</v>
      </c>
      <c r="G949" s="159" t="s">
        <v>345</v>
      </c>
      <c r="H949" s="115">
        <v>44707</v>
      </c>
    </row>
    <row r="950" spans="1:8">
      <c r="A950" s="114" t="s">
        <v>115</v>
      </c>
      <c r="B950" s="114">
        <v>3701</v>
      </c>
      <c r="C950" s="114" t="s">
        <v>149</v>
      </c>
      <c r="D950" s="115">
        <v>44707</v>
      </c>
      <c r="E950" s="114">
        <v>2600</v>
      </c>
      <c r="F950" s="114" t="s">
        <v>8</v>
      </c>
      <c r="G950" s="159" t="s">
        <v>345</v>
      </c>
      <c r="H950" s="115">
        <v>44707</v>
      </c>
    </row>
    <row r="951" spans="1:8">
      <c r="A951" s="114" t="s">
        <v>73</v>
      </c>
      <c r="B951" s="114">
        <v>1809</v>
      </c>
      <c r="C951" s="114" t="s">
        <v>99</v>
      </c>
      <c r="D951" s="115">
        <v>44707</v>
      </c>
      <c r="E951" s="114">
        <v>3600</v>
      </c>
      <c r="F951" s="114" t="s">
        <v>112</v>
      </c>
      <c r="G951" s="159" t="s">
        <v>345</v>
      </c>
      <c r="H951" s="115">
        <v>44707</v>
      </c>
    </row>
    <row r="952" spans="1:8">
      <c r="A952" s="114" t="s">
        <v>73</v>
      </c>
      <c r="B952" s="114">
        <v>1810</v>
      </c>
      <c r="C952" s="114" t="s">
        <v>80</v>
      </c>
      <c r="D952" s="115">
        <v>44707</v>
      </c>
      <c r="E952" s="114">
        <v>1600</v>
      </c>
      <c r="F952" s="114" t="s">
        <v>3</v>
      </c>
      <c r="G952" s="159" t="s">
        <v>345</v>
      </c>
      <c r="H952" s="115">
        <v>44707</v>
      </c>
    </row>
    <row r="953" spans="1:8">
      <c r="A953" s="114" t="s">
        <v>73</v>
      </c>
      <c r="B953" s="114">
        <v>1811</v>
      </c>
      <c r="C953" s="114" t="s">
        <v>96</v>
      </c>
      <c r="D953" s="115">
        <v>44707</v>
      </c>
      <c r="E953" s="114">
        <v>3600</v>
      </c>
      <c r="F953" s="114" t="s">
        <v>112</v>
      </c>
      <c r="G953" s="159" t="s">
        <v>345</v>
      </c>
      <c r="H953" s="115">
        <v>44707</v>
      </c>
    </row>
    <row r="954" spans="1:8">
      <c r="A954" s="114" t="s">
        <v>115</v>
      </c>
      <c r="B954" s="114">
        <v>3702</v>
      </c>
      <c r="C954" s="114" t="s">
        <v>148</v>
      </c>
      <c r="D954" s="115">
        <v>44707</v>
      </c>
      <c r="E954" s="114">
        <v>4200</v>
      </c>
      <c r="F954" s="114" t="s">
        <v>166</v>
      </c>
      <c r="G954" s="159" t="s">
        <v>345</v>
      </c>
      <c r="H954" s="115">
        <v>44707</v>
      </c>
    </row>
    <row r="955" spans="1:8">
      <c r="A955" s="114" t="s">
        <v>115</v>
      </c>
      <c r="B955" s="114">
        <v>3703</v>
      </c>
      <c r="C955" s="114" t="s">
        <v>138</v>
      </c>
      <c r="D955" s="115">
        <v>44707</v>
      </c>
      <c r="E955" s="114">
        <v>2800</v>
      </c>
      <c r="F955" s="114" t="s">
        <v>135</v>
      </c>
      <c r="G955" s="159" t="s">
        <v>345</v>
      </c>
      <c r="H955" s="115">
        <v>44707</v>
      </c>
    </row>
    <row r="956" spans="1:8">
      <c r="A956" s="114" t="s">
        <v>73</v>
      </c>
      <c r="B956" s="114">
        <v>1812</v>
      </c>
      <c r="C956" s="114" t="s">
        <v>79</v>
      </c>
      <c r="D956" s="115">
        <v>44707</v>
      </c>
      <c r="E956" s="114">
        <v>1600</v>
      </c>
      <c r="F956" s="114" t="s">
        <v>3</v>
      </c>
      <c r="G956" s="159" t="s">
        <v>345</v>
      </c>
      <c r="H956" s="115">
        <v>44707</v>
      </c>
    </row>
    <row r="957" spans="1:8">
      <c r="A957" s="114" t="s">
        <v>73</v>
      </c>
      <c r="B957" s="114">
        <v>1813</v>
      </c>
      <c r="C957" s="114" t="s">
        <v>106</v>
      </c>
      <c r="D957" s="115">
        <v>44707</v>
      </c>
      <c r="E957" s="114">
        <v>2800</v>
      </c>
      <c r="F957" s="114" t="s">
        <v>107</v>
      </c>
      <c r="G957" s="159" t="s">
        <v>345</v>
      </c>
      <c r="H957" s="115">
        <v>44707</v>
      </c>
    </row>
    <row r="958" spans="1:8">
      <c r="A958" s="114" t="s">
        <v>115</v>
      </c>
      <c r="B958" s="114">
        <v>3704</v>
      </c>
      <c r="C958" s="114" t="s">
        <v>146</v>
      </c>
      <c r="D958" s="115">
        <v>44707</v>
      </c>
      <c r="E958" s="114">
        <v>2000</v>
      </c>
      <c r="F958" s="114" t="s">
        <v>8</v>
      </c>
      <c r="G958" s="159" t="s">
        <v>345</v>
      </c>
      <c r="H958" s="115">
        <v>44707</v>
      </c>
    </row>
    <row r="959" spans="1:8">
      <c r="A959" s="114" t="s">
        <v>115</v>
      </c>
      <c r="B959" s="114">
        <v>3705</v>
      </c>
      <c r="C959" s="114" t="s">
        <v>315</v>
      </c>
      <c r="D959" s="115">
        <v>44707</v>
      </c>
      <c r="E959" s="114">
        <v>3000</v>
      </c>
      <c r="F959" s="114" t="s">
        <v>157</v>
      </c>
      <c r="G959" s="159" t="s">
        <v>345</v>
      </c>
      <c r="H959" s="115">
        <v>44707</v>
      </c>
    </row>
    <row r="960" spans="1:8">
      <c r="A960" s="114" t="s">
        <v>115</v>
      </c>
      <c r="B960" s="114">
        <v>3706</v>
      </c>
      <c r="C960" s="114" t="s">
        <v>344</v>
      </c>
      <c r="D960" s="115">
        <v>44707</v>
      </c>
      <c r="E960" s="114">
        <v>3500</v>
      </c>
      <c r="F960" s="114" t="s">
        <v>8</v>
      </c>
      <c r="G960" s="159" t="s">
        <v>345</v>
      </c>
      <c r="H960" s="115">
        <v>44707</v>
      </c>
    </row>
    <row r="961" spans="1:10">
      <c r="A961" s="114" t="s">
        <v>73</v>
      </c>
      <c r="B961" s="114">
        <v>1814</v>
      </c>
      <c r="C961" s="114" t="s">
        <v>110</v>
      </c>
      <c r="D961" s="115">
        <v>44707</v>
      </c>
      <c r="E961" s="114">
        <v>2800</v>
      </c>
      <c r="F961" s="114" t="s">
        <v>107</v>
      </c>
      <c r="G961" s="159" t="s">
        <v>345</v>
      </c>
      <c r="H961" s="115">
        <v>44707</v>
      </c>
    </row>
    <row r="962" spans="1:10">
      <c r="A962" s="114" t="s">
        <v>115</v>
      </c>
      <c r="B962" s="114">
        <v>3707</v>
      </c>
      <c r="C962" s="114" t="s">
        <v>289</v>
      </c>
      <c r="D962" s="115">
        <v>44707</v>
      </c>
      <c r="E962" s="114">
        <v>2300</v>
      </c>
      <c r="F962" s="114" t="s">
        <v>290</v>
      </c>
      <c r="G962" s="159" t="s">
        <v>345</v>
      </c>
      <c r="H962" s="115">
        <v>44707</v>
      </c>
    </row>
    <row r="963" spans="1:10">
      <c r="A963" s="114" t="s">
        <v>115</v>
      </c>
      <c r="B963" s="114">
        <v>3708</v>
      </c>
      <c r="C963" s="114" t="s">
        <v>127</v>
      </c>
      <c r="D963" s="115">
        <v>44707</v>
      </c>
      <c r="E963" s="114">
        <v>5600</v>
      </c>
      <c r="F963" s="114" t="s">
        <v>157</v>
      </c>
      <c r="G963" s="159" t="s">
        <v>345</v>
      </c>
      <c r="H963" s="115">
        <v>44707</v>
      </c>
    </row>
    <row r="964" spans="1:10">
      <c r="A964" s="114" t="s">
        <v>115</v>
      </c>
      <c r="B964" s="114">
        <v>3709</v>
      </c>
      <c r="C964" s="114" t="s">
        <v>128</v>
      </c>
      <c r="D964" s="115">
        <v>44707</v>
      </c>
      <c r="E964" s="114">
        <f>10200+1000</f>
        <v>11200</v>
      </c>
      <c r="F964" s="114" t="s">
        <v>142</v>
      </c>
      <c r="G964" s="159" t="s">
        <v>345</v>
      </c>
      <c r="H964" s="115">
        <v>44707</v>
      </c>
    </row>
    <row r="965" spans="1:10">
      <c r="A965" s="114" t="s">
        <v>73</v>
      </c>
      <c r="B965" s="114">
        <v>1815</v>
      </c>
      <c r="C965" s="114" t="s">
        <v>340</v>
      </c>
      <c r="D965" s="115">
        <v>44707</v>
      </c>
      <c r="E965" s="114">
        <f>1500+1500</f>
        <v>3000</v>
      </c>
      <c r="F965" s="114" t="s">
        <v>8</v>
      </c>
      <c r="G965" s="159" t="s">
        <v>347</v>
      </c>
      <c r="H965" s="115">
        <v>44707</v>
      </c>
      <c r="J965" t="s">
        <v>58</v>
      </c>
    </row>
    <row r="966" spans="1:10">
      <c r="A966" s="114" t="s">
        <v>115</v>
      </c>
      <c r="B966" s="114">
        <v>3710</v>
      </c>
      <c r="C966" s="114" t="s">
        <v>170</v>
      </c>
      <c r="D966" s="115">
        <v>44739</v>
      </c>
      <c r="E966" s="114">
        <v>3300</v>
      </c>
      <c r="F966" s="114" t="s">
        <v>161</v>
      </c>
      <c r="G966" s="114" t="s">
        <v>348</v>
      </c>
      <c r="H966" s="115">
        <v>44739</v>
      </c>
    </row>
    <row r="967" spans="1:10">
      <c r="A967" s="114" t="s">
        <v>73</v>
      </c>
      <c r="B967" s="114">
        <v>1816</v>
      </c>
      <c r="C967" s="114" t="s">
        <v>275</v>
      </c>
      <c r="D967" s="115">
        <v>44739</v>
      </c>
      <c r="E967" s="114">
        <v>5200</v>
      </c>
      <c r="F967" s="114" t="s">
        <v>89</v>
      </c>
      <c r="G967" s="114" t="s">
        <v>348</v>
      </c>
      <c r="H967" s="115">
        <v>44739</v>
      </c>
    </row>
    <row r="968" spans="1:10">
      <c r="A968" s="114" t="s">
        <v>115</v>
      </c>
      <c r="B968" s="114">
        <v>3711</v>
      </c>
      <c r="C968" s="114" t="s">
        <v>131</v>
      </c>
      <c r="D968" s="115">
        <v>44739</v>
      </c>
      <c r="E968" s="114">
        <v>1100</v>
      </c>
      <c r="F968" s="114" t="s">
        <v>142</v>
      </c>
      <c r="G968" s="114" t="s">
        <v>348</v>
      </c>
      <c r="H968" s="115">
        <v>44739</v>
      </c>
    </row>
    <row r="969" spans="1:10">
      <c r="A969" s="114" t="s">
        <v>115</v>
      </c>
      <c r="B969" s="114">
        <v>3712</v>
      </c>
      <c r="C969" s="114" t="s">
        <v>128</v>
      </c>
      <c r="D969" s="115">
        <v>44739</v>
      </c>
      <c r="E969" s="114">
        <f>10200+1000</f>
        <v>11200</v>
      </c>
      <c r="F969" s="114" t="s">
        <v>142</v>
      </c>
      <c r="G969" s="114" t="s">
        <v>348</v>
      </c>
      <c r="H969" s="115">
        <v>44739</v>
      </c>
    </row>
    <row r="970" spans="1:10">
      <c r="A970" s="114" t="s">
        <v>115</v>
      </c>
      <c r="B970" s="114">
        <v>3713</v>
      </c>
      <c r="C970" s="114" t="s">
        <v>134</v>
      </c>
      <c r="D970" s="115">
        <v>44739</v>
      </c>
      <c r="E970" s="114">
        <v>3200</v>
      </c>
      <c r="F970" s="114" t="s">
        <v>135</v>
      </c>
      <c r="G970" s="114" t="s">
        <v>348</v>
      </c>
      <c r="H970" s="115">
        <v>44739</v>
      </c>
    </row>
    <row r="971" spans="1:10">
      <c r="A971" s="114" t="s">
        <v>73</v>
      </c>
      <c r="B971" s="114">
        <v>1817</v>
      </c>
      <c r="C971" s="114" t="s">
        <v>109</v>
      </c>
      <c r="D971" s="115">
        <v>44739</v>
      </c>
      <c r="E971" s="114">
        <v>2800</v>
      </c>
      <c r="F971" s="114" t="s">
        <v>91</v>
      </c>
      <c r="G971" s="114" t="s">
        <v>348</v>
      </c>
      <c r="H971" s="115">
        <v>44739</v>
      </c>
    </row>
    <row r="972" spans="1:10">
      <c r="A972" s="114" t="s">
        <v>115</v>
      </c>
      <c r="B972" s="114">
        <v>3714</v>
      </c>
      <c r="C972" s="114" t="s">
        <v>147</v>
      </c>
      <c r="D972" s="115">
        <v>44739</v>
      </c>
      <c r="E972" s="114">
        <v>5600</v>
      </c>
      <c r="F972" s="114" t="s">
        <v>89</v>
      </c>
      <c r="G972" s="114" t="s">
        <v>348</v>
      </c>
      <c r="H972" s="115">
        <v>44739</v>
      </c>
    </row>
    <row r="973" spans="1:10">
      <c r="A973" s="114" t="s">
        <v>115</v>
      </c>
      <c r="B973" s="114">
        <v>3715</v>
      </c>
      <c r="C973" s="114" t="s">
        <v>130</v>
      </c>
      <c r="D973" s="115">
        <v>44739</v>
      </c>
      <c r="E973" s="114">
        <v>1500</v>
      </c>
      <c r="F973" s="114" t="s">
        <v>142</v>
      </c>
      <c r="G973" s="114" t="s">
        <v>348</v>
      </c>
      <c r="H973" s="115">
        <v>44739</v>
      </c>
    </row>
    <row r="974" spans="1:10">
      <c r="A974" s="114" t="s">
        <v>115</v>
      </c>
      <c r="B974" s="114">
        <v>3716</v>
      </c>
      <c r="C974" s="160" t="s">
        <v>152</v>
      </c>
      <c r="D974" s="115">
        <v>44739</v>
      </c>
      <c r="E974" s="114">
        <v>3600</v>
      </c>
      <c r="F974" s="114" t="s">
        <v>164</v>
      </c>
      <c r="G974" s="114" t="s">
        <v>348</v>
      </c>
      <c r="H974" s="115">
        <v>44739</v>
      </c>
    </row>
    <row r="975" spans="1:10">
      <c r="A975" s="114" t="s">
        <v>73</v>
      </c>
      <c r="B975" s="114">
        <v>1818</v>
      </c>
      <c r="C975" s="114" t="s">
        <v>87</v>
      </c>
      <c r="D975" s="115">
        <v>44739</v>
      </c>
      <c r="E975" s="114">
        <v>1100</v>
      </c>
      <c r="F975" s="114" t="s">
        <v>91</v>
      </c>
      <c r="G975" s="114" t="s">
        <v>348</v>
      </c>
      <c r="H975" s="115">
        <v>44739</v>
      </c>
    </row>
    <row r="976" spans="1:10">
      <c r="A976" s="114" t="s">
        <v>115</v>
      </c>
      <c r="B976" s="114">
        <v>3717</v>
      </c>
      <c r="C976" s="114" t="s">
        <v>129</v>
      </c>
      <c r="D976" s="115">
        <v>44739</v>
      </c>
      <c r="E976" s="114">
        <v>500</v>
      </c>
      <c r="F976" s="114" t="s">
        <v>142</v>
      </c>
      <c r="G976" s="114" t="s">
        <v>348</v>
      </c>
      <c r="H976" s="115">
        <v>44739</v>
      </c>
    </row>
    <row r="977" spans="1:13">
      <c r="A977" s="114" t="s">
        <v>73</v>
      </c>
      <c r="B977" s="114">
        <v>1819</v>
      </c>
      <c r="C977" s="114" t="s">
        <v>292</v>
      </c>
      <c r="D977" s="115">
        <v>44741</v>
      </c>
      <c r="E977" s="114">
        <v>2800</v>
      </c>
      <c r="F977" s="114" t="s">
        <v>107</v>
      </c>
      <c r="G977" s="114" t="s">
        <v>348</v>
      </c>
      <c r="H977" s="115">
        <v>44741</v>
      </c>
    </row>
    <row r="978" spans="1:13">
      <c r="A978" s="114" t="s">
        <v>115</v>
      </c>
      <c r="B978" s="114">
        <v>3718</v>
      </c>
      <c r="C978" s="114" t="s">
        <v>132</v>
      </c>
      <c r="D978" s="115">
        <v>44741</v>
      </c>
      <c r="E978" s="114">
        <v>3900</v>
      </c>
      <c r="F978" s="114" t="s">
        <v>135</v>
      </c>
      <c r="G978" s="114" t="s">
        <v>348</v>
      </c>
      <c r="H978" s="115">
        <v>44741</v>
      </c>
    </row>
    <row r="979" spans="1:13">
      <c r="A979" s="114" t="s">
        <v>115</v>
      </c>
      <c r="B979" s="114">
        <v>3719</v>
      </c>
      <c r="C979" s="114" t="s">
        <v>141</v>
      </c>
      <c r="D979" s="115">
        <v>44741</v>
      </c>
      <c r="E979" s="114">
        <v>2000</v>
      </c>
      <c r="F979" s="114" t="s">
        <v>142</v>
      </c>
      <c r="G979" s="114" t="s">
        <v>348</v>
      </c>
      <c r="H979" s="115">
        <v>44741</v>
      </c>
    </row>
    <row r="980" spans="1:13">
      <c r="A980" s="114" t="s">
        <v>73</v>
      </c>
      <c r="B980" s="114">
        <v>1820</v>
      </c>
      <c r="C980" s="114" t="s">
        <v>321</v>
      </c>
      <c r="D980" s="115">
        <v>44741</v>
      </c>
      <c r="E980" s="114">
        <v>2000</v>
      </c>
      <c r="F980" s="114" t="s">
        <v>8</v>
      </c>
      <c r="G980" s="114" t="s">
        <v>348</v>
      </c>
      <c r="H980" s="115">
        <v>44741</v>
      </c>
    </row>
    <row r="981" spans="1:13">
      <c r="A981" s="114" t="s">
        <v>73</v>
      </c>
      <c r="B981" s="114">
        <v>1821</v>
      </c>
      <c r="C981" s="114" t="s">
        <v>81</v>
      </c>
      <c r="D981" s="115">
        <v>44741</v>
      </c>
      <c r="E981" s="114">
        <v>1800</v>
      </c>
      <c r="F981" s="114" t="s">
        <v>92</v>
      </c>
      <c r="G981" s="114" t="s">
        <v>348</v>
      </c>
      <c r="H981" s="115">
        <v>44741</v>
      </c>
    </row>
    <row r="982" spans="1:13">
      <c r="A982" s="114" t="s">
        <v>115</v>
      </c>
      <c r="B982" s="114">
        <v>3720</v>
      </c>
      <c r="C982" s="114" t="s">
        <v>137</v>
      </c>
      <c r="D982" s="115">
        <v>44741</v>
      </c>
      <c r="E982" s="114">
        <v>4200</v>
      </c>
      <c r="F982" s="114" t="s">
        <v>135</v>
      </c>
      <c r="G982" s="114" t="s">
        <v>348</v>
      </c>
      <c r="H982" s="115">
        <v>44741</v>
      </c>
    </row>
    <row r="983" spans="1:13">
      <c r="A983" s="114" t="s">
        <v>115</v>
      </c>
      <c r="B983" s="114">
        <v>3721</v>
      </c>
      <c r="C983" s="114" t="s">
        <v>149</v>
      </c>
      <c r="D983" s="115">
        <v>44741</v>
      </c>
      <c r="E983" s="114">
        <v>2600</v>
      </c>
      <c r="F983" s="114" t="s">
        <v>8</v>
      </c>
      <c r="G983" s="114" t="s">
        <v>348</v>
      </c>
      <c r="H983" s="115">
        <v>44741</v>
      </c>
      <c r="L983" t="s">
        <v>349</v>
      </c>
      <c r="M983" t="s">
        <v>350</v>
      </c>
    </row>
    <row r="984" spans="1:13">
      <c r="A984" s="114" t="s">
        <v>73</v>
      </c>
      <c r="B984" s="114">
        <v>1822</v>
      </c>
      <c r="C984" s="114" t="s">
        <v>99</v>
      </c>
      <c r="D984" s="115">
        <v>44741</v>
      </c>
      <c r="E984" s="114">
        <v>3600</v>
      </c>
      <c r="F984" s="114" t="s">
        <v>112</v>
      </c>
      <c r="G984" s="114" t="s">
        <v>348</v>
      </c>
      <c r="H984" s="115">
        <v>44741</v>
      </c>
    </row>
    <row r="985" spans="1:13">
      <c r="A985" s="114" t="s">
        <v>73</v>
      </c>
      <c r="B985" s="114">
        <v>1823</v>
      </c>
      <c r="C985" s="114" t="s">
        <v>80</v>
      </c>
      <c r="D985" s="115">
        <v>44741</v>
      </c>
      <c r="E985" s="114">
        <v>1600</v>
      </c>
      <c r="F985" s="114" t="s">
        <v>3</v>
      </c>
      <c r="G985" s="114" t="s">
        <v>348</v>
      </c>
      <c r="H985" s="115">
        <v>44741</v>
      </c>
    </row>
    <row r="986" spans="1:13">
      <c r="A986" s="114" t="s">
        <v>73</v>
      </c>
      <c r="B986" s="114">
        <v>1824</v>
      </c>
      <c r="C986" s="114" t="s">
        <v>96</v>
      </c>
      <c r="D986" s="115">
        <v>44741</v>
      </c>
      <c r="E986" s="114">
        <v>3600</v>
      </c>
      <c r="F986" s="114" t="s">
        <v>112</v>
      </c>
      <c r="G986" s="114" t="s">
        <v>348</v>
      </c>
      <c r="H986" s="115">
        <v>44741</v>
      </c>
    </row>
    <row r="987" spans="1:13">
      <c r="A987" s="114" t="s">
        <v>115</v>
      </c>
      <c r="B987" s="114">
        <v>3722</v>
      </c>
      <c r="C987" s="114" t="s">
        <v>148</v>
      </c>
      <c r="D987" s="115">
        <v>44741</v>
      </c>
      <c r="E987" s="114">
        <v>4200</v>
      </c>
      <c r="F987" s="114" t="s">
        <v>166</v>
      </c>
      <c r="G987" s="114" t="s">
        <v>348</v>
      </c>
      <c r="H987" s="115">
        <v>44741</v>
      </c>
    </row>
    <row r="988" spans="1:13">
      <c r="A988" s="114" t="s">
        <v>115</v>
      </c>
      <c r="B988" s="114">
        <v>3723</v>
      </c>
      <c r="C988" s="114" t="s">
        <v>138</v>
      </c>
      <c r="D988" s="115">
        <v>44741</v>
      </c>
      <c r="E988" s="114">
        <v>2800</v>
      </c>
      <c r="F988" s="114" t="s">
        <v>135</v>
      </c>
      <c r="G988" s="114" t="s">
        <v>348</v>
      </c>
      <c r="H988" s="115">
        <v>44741</v>
      </c>
    </row>
    <row r="989" spans="1:13">
      <c r="A989" s="114" t="s">
        <v>73</v>
      </c>
      <c r="B989" s="114">
        <v>1825</v>
      </c>
      <c r="C989" s="114" t="s">
        <v>79</v>
      </c>
      <c r="D989" s="115">
        <v>44741</v>
      </c>
      <c r="E989" s="114">
        <v>1600</v>
      </c>
      <c r="F989" s="114" t="s">
        <v>3</v>
      </c>
      <c r="G989" s="114" t="s">
        <v>348</v>
      </c>
      <c r="H989" s="115">
        <v>44741</v>
      </c>
    </row>
    <row r="990" spans="1:13">
      <c r="A990" s="114" t="s">
        <v>73</v>
      </c>
      <c r="B990" s="114">
        <v>1826</v>
      </c>
      <c r="C990" s="114" t="s">
        <v>106</v>
      </c>
      <c r="D990" s="115">
        <v>44741</v>
      </c>
      <c r="E990" s="114">
        <v>2800</v>
      </c>
      <c r="F990" s="114" t="s">
        <v>107</v>
      </c>
      <c r="G990" s="114" t="s">
        <v>348</v>
      </c>
      <c r="H990" s="115">
        <v>44741</v>
      </c>
    </row>
    <row r="991" spans="1:13">
      <c r="A991" s="114" t="s">
        <v>115</v>
      </c>
      <c r="B991" s="114">
        <v>3724</v>
      </c>
      <c r="C991" s="114" t="s">
        <v>146</v>
      </c>
      <c r="D991" s="115">
        <v>44741</v>
      </c>
      <c r="E991" s="114">
        <v>2000</v>
      </c>
      <c r="F991" s="114" t="s">
        <v>8</v>
      </c>
      <c r="G991" s="114" t="s">
        <v>348</v>
      </c>
      <c r="H991" s="115">
        <v>44741</v>
      </c>
    </row>
    <row r="992" spans="1:13">
      <c r="A992" s="114" t="s">
        <v>115</v>
      </c>
      <c r="B992" s="114">
        <v>3725</v>
      </c>
      <c r="C992" s="114" t="s">
        <v>315</v>
      </c>
      <c r="D992" s="115">
        <v>44741</v>
      </c>
      <c r="E992" s="114">
        <v>3000</v>
      </c>
      <c r="F992" s="114" t="s">
        <v>157</v>
      </c>
      <c r="G992" s="114" t="s">
        <v>348</v>
      </c>
      <c r="H992" s="115">
        <v>44741</v>
      </c>
    </row>
    <row r="993" spans="1:10">
      <c r="A993" s="114" t="s">
        <v>73</v>
      </c>
      <c r="B993" s="114">
        <v>1827</v>
      </c>
      <c r="C993" s="114" t="s">
        <v>110</v>
      </c>
      <c r="D993" s="115">
        <v>44741</v>
      </c>
      <c r="E993" s="114">
        <v>2800</v>
      </c>
      <c r="F993" s="114" t="s">
        <v>107</v>
      </c>
      <c r="G993" s="114" t="s">
        <v>348</v>
      </c>
      <c r="H993" s="115">
        <v>44741</v>
      </c>
    </row>
    <row r="994" spans="1:10">
      <c r="A994" s="114" t="s">
        <v>115</v>
      </c>
      <c r="B994" s="114">
        <v>3726</v>
      </c>
      <c r="C994" s="114" t="s">
        <v>289</v>
      </c>
      <c r="D994" s="115">
        <v>44741</v>
      </c>
      <c r="E994" s="114">
        <v>2300</v>
      </c>
      <c r="F994" s="114" t="s">
        <v>290</v>
      </c>
      <c r="G994" s="114" t="s">
        <v>348</v>
      </c>
      <c r="H994" s="115">
        <v>44741</v>
      </c>
    </row>
    <row r="995" spans="1:10">
      <c r="A995" s="114" t="s">
        <v>115</v>
      </c>
      <c r="B995" s="114">
        <v>3727</v>
      </c>
      <c r="C995" s="114" t="s">
        <v>127</v>
      </c>
      <c r="D995" s="115">
        <v>44741</v>
      </c>
      <c r="E995" s="114">
        <v>5600</v>
      </c>
      <c r="F995" s="114" t="s">
        <v>157</v>
      </c>
      <c r="G995" s="114" t="s">
        <v>348</v>
      </c>
      <c r="H995" s="115">
        <v>44741</v>
      </c>
    </row>
    <row r="996" spans="1:10">
      <c r="A996" s="114" t="s">
        <v>115</v>
      </c>
      <c r="B996" s="114">
        <v>3728</v>
      </c>
      <c r="C996" s="114" t="s">
        <v>344</v>
      </c>
      <c r="D996" s="115">
        <v>44741</v>
      </c>
      <c r="E996" s="114">
        <v>3500</v>
      </c>
      <c r="F996" s="114" t="s">
        <v>8</v>
      </c>
      <c r="G996" s="114" t="s">
        <v>348</v>
      </c>
      <c r="H996" s="115">
        <v>44741</v>
      </c>
    </row>
    <row r="997" spans="1:10">
      <c r="A997" s="114" t="s">
        <v>73</v>
      </c>
      <c r="B997" s="114">
        <v>1828</v>
      </c>
      <c r="C997" s="114" t="s">
        <v>340</v>
      </c>
      <c r="D997" s="115">
        <v>44741</v>
      </c>
      <c r="E997" s="114">
        <v>1500</v>
      </c>
      <c r="F997" s="114" t="s">
        <v>8</v>
      </c>
      <c r="G997" s="114" t="s">
        <v>348</v>
      </c>
      <c r="H997" s="115">
        <v>44741</v>
      </c>
      <c r="J997" t="s">
        <v>58</v>
      </c>
    </row>
    <row r="998" spans="1:10">
      <c r="A998" s="114" t="s">
        <v>115</v>
      </c>
      <c r="B998" s="114">
        <v>3729</v>
      </c>
      <c r="C998" s="114" t="s">
        <v>190</v>
      </c>
      <c r="D998" s="115">
        <v>44742</v>
      </c>
      <c r="E998" s="114">
        <f>3100*3</f>
        <v>9300</v>
      </c>
      <c r="F998" s="114" t="s">
        <v>142</v>
      </c>
      <c r="G998" s="114" t="s">
        <v>351</v>
      </c>
      <c r="H998" s="115">
        <v>44742</v>
      </c>
    </row>
    <row r="999" spans="1:10">
      <c r="A999" s="114" t="s">
        <v>115</v>
      </c>
      <c r="B999" s="114">
        <v>3730</v>
      </c>
      <c r="C999" s="129" t="s">
        <v>153</v>
      </c>
      <c r="D999" s="115">
        <v>44742</v>
      </c>
      <c r="E999" s="114">
        <f>2100*3</f>
        <v>6300</v>
      </c>
      <c r="F999" s="87" t="s">
        <v>168</v>
      </c>
      <c r="G999" s="114" t="s">
        <v>351</v>
      </c>
      <c r="H999" s="115">
        <v>44742</v>
      </c>
    </row>
    <row r="1000" spans="1:10">
      <c r="A1000" s="114" t="s">
        <v>115</v>
      </c>
      <c r="B1000" s="114">
        <v>3731</v>
      </c>
      <c r="C1000" s="129" t="s">
        <v>154</v>
      </c>
      <c r="D1000" s="115">
        <v>44742</v>
      </c>
      <c r="E1000" s="114">
        <f>2600*3</f>
        <v>7800</v>
      </c>
      <c r="F1000" s="87" t="s">
        <v>168</v>
      </c>
      <c r="G1000" s="114" t="s">
        <v>351</v>
      </c>
      <c r="H1000" s="115">
        <v>44742</v>
      </c>
      <c r="J1000" s="216" t="s">
        <v>280</v>
      </c>
    </row>
    <row r="1001" spans="1:10">
      <c r="A1001" s="114" t="s">
        <v>73</v>
      </c>
      <c r="B1001" s="114">
        <v>1829</v>
      </c>
      <c r="C1001" s="87" t="s">
        <v>140</v>
      </c>
      <c r="D1001" s="115">
        <v>44742</v>
      </c>
      <c r="E1001" s="114">
        <f>(4000*3)+(1000*3)+(2500*3)+(2500*3)+(2500*2)+7000</f>
        <v>42000</v>
      </c>
      <c r="F1001" s="87" t="s">
        <v>25</v>
      </c>
      <c r="G1001" s="114" t="s">
        <v>351</v>
      </c>
      <c r="H1001" s="115">
        <v>44742</v>
      </c>
      <c r="I1001" t="s">
        <v>352</v>
      </c>
    </row>
    <row r="1002" spans="1:10">
      <c r="A1002" s="114" t="s">
        <v>115</v>
      </c>
      <c r="B1002" s="114">
        <v>3732</v>
      </c>
      <c r="C1002" s="87" t="s">
        <v>140</v>
      </c>
      <c r="D1002" s="115">
        <v>44742</v>
      </c>
      <c r="E1002" s="114">
        <f>+(1700*3)+(4000*3)+(3000*3)+(3500*3)+(500*3)</f>
        <v>38100</v>
      </c>
      <c r="F1002" s="87" t="s">
        <v>25</v>
      </c>
      <c r="G1002" s="114" t="s">
        <v>351</v>
      </c>
      <c r="H1002" s="115"/>
      <c r="I1002" t="s">
        <v>353</v>
      </c>
    </row>
    <row r="1003" spans="1:10">
      <c r="A1003" s="114" t="s">
        <v>73</v>
      </c>
      <c r="B1003" s="114">
        <v>1830</v>
      </c>
      <c r="C1003" s="114" t="s">
        <v>77</v>
      </c>
      <c r="D1003" s="115">
        <v>44742</v>
      </c>
      <c r="E1003" s="114">
        <v>2500</v>
      </c>
      <c r="F1003" s="114" t="s">
        <v>91</v>
      </c>
      <c r="G1003" s="114" t="s">
        <v>351</v>
      </c>
      <c r="H1003" s="115">
        <v>44742</v>
      </c>
    </row>
    <row r="1004" spans="1:10">
      <c r="A1004" s="114" t="s">
        <v>73</v>
      </c>
      <c r="B1004" s="114">
        <v>1831</v>
      </c>
      <c r="C1004" s="114" t="s">
        <v>86</v>
      </c>
      <c r="D1004" s="115">
        <v>44742</v>
      </c>
      <c r="E1004" s="114">
        <v>4800</v>
      </c>
      <c r="F1004" s="114" t="s">
        <v>8</v>
      </c>
      <c r="G1004" s="114" t="s">
        <v>351</v>
      </c>
      <c r="H1004" s="115">
        <v>44742</v>
      </c>
    </row>
    <row r="1005" spans="1:10">
      <c r="A1005" s="114" t="s">
        <v>73</v>
      </c>
      <c r="B1005" s="114">
        <v>1832</v>
      </c>
      <c r="C1005" s="87" t="s">
        <v>101</v>
      </c>
      <c r="D1005" s="115">
        <v>44742</v>
      </c>
      <c r="E1005" s="114">
        <v>4800</v>
      </c>
      <c r="F1005" s="114" t="s">
        <v>8</v>
      </c>
      <c r="G1005" s="114" t="s">
        <v>351</v>
      </c>
      <c r="H1005" s="115">
        <v>44742</v>
      </c>
    </row>
    <row r="1006" spans="1:10">
      <c r="A1006" s="114" t="s">
        <v>73</v>
      </c>
      <c r="B1006" s="114">
        <v>1833</v>
      </c>
      <c r="C1006" s="114" t="s">
        <v>354</v>
      </c>
      <c r="D1006" s="115">
        <v>44742</v>
      </c>
      <c r="E1006" s="114">
        <f>2500*3</f>
        <v>7500</v>
      </c>
      <c r="F1006" s="114" t="s">
        <v>8</v>
      </c>
      <c r="G1006" s="114" t="s">
        <v>351</v>
      </c>
      <c r="H1006" s="115">
        <v>44742</v>
      </c>
    </row>
    <row r="1007" spans="1:10">
      <c r="A1007" s="114" t="s">
        <v>73</v>
      </c>
      <c r="B1007" s="114">
        <v>1834</v>
      </c>
      <c r="C1007" s="87" t="s">
        <v>207</v>
      </c>
      <c r="D1007" s="115">
        <v>44742</v>
      </c>
      <c r="E1007" s="87">
        <f>9000*3</f>
        <v>27000</v>
      </c>
      <c r="F1007" s="87" t="s">
        <v>93</v>
      </c>
      <c r="G1007" s="114" t="s">
        <v>351</v>
      </c>
      <c r="H1007" s="115">
        <v>44742</v>
      </c>
    </row>
    <row r="1008" spans="1:10">
      <c r="A1008" s="114" t="s">
        <v>115</v>
      </c>
      <c r="B1008" s="114">
        <v>3733</v>
      </c>
      <c r="C1008" s="114" t="s">
        <v>293</v>
      </c>
      <c r="D1008" s="115">
        <v>44753</v>
      </c>
      <c r="E1008" s="114">
        <v>6000</v>
      </c>
      <c r="F1008" s="114" t="s">
        <v>93</v>
      </c>
      <c r="G1008" s="114" t="s">
        <v>351</v>
      </c>
      <c r="H1008" s="115">
        <v>44753</v>
      </c>
    </row>
    <row r="1009" spans="1:9">
      <c r="A1009" s="114" t="s">
        <v>115</v>
      </c>
      <c r="B1009" s="114">
        <v>3734</v>
      </c>
      <c r="C1009" s="114" t="s">
        <v>237</v>
      </c>
      <c r="D1009" s="115">
        <v>44773</v>
      </c>
      <c r="E1009" s="114">
        <f>3600+3600+8500</f>
        <v>15700</v>
      </c>
      <c r="F1009" s="114" t="s">
        <v>238</v>
      </c>
      <c r="G1009" s="114" t="s">
        <v>351</v>
      </c>
      <c r="H1009" s="115">
        <v>44773</v>
      </c>
      <c r="I1009" t="s">
        <v>355</v>
      </c>
    </row>
    <row r="1010" spans="1:9">
      <c r="A1010" s="114" t="s">
        <v>73</v>
      </c>
      <c r="B1010" s="114">
        <v>1835</v>
      </c>
      <c r="C1010" t="s">
        <v>356</v>
      </c>
      <c r="D1010" s="115">
        <v>44773</v>
      </c>
      <c r="E1010">
        <f>6000*3</f>
        <v>18000</v>
      </c>
      <c r="F1010" t="s">
        <v>357</v>
      </c>
      <c r="G1010" s="114" t="s">
        <v>351</v>
      </c>
      <c r="H1010" s="115">
        <v>44773</v>
      </c>
      <c r="I1010" t="s">
        <v>358</v>
      </c>
    </row>
    <row r="1011" spans="1:9">
      <c r="A1011" s="114" t="s">
        <v>115</v>
      </c>
      <c r="B1011" s="114">
        <v>3735</v>
      </c>
      <c r="C1011" s="114" t="s">
        <v>170</v>
      </c>
      <c r="D1011" s="115">
        <v>44773</v>
      </c>
      <c r="E1011" s="114">
        <v>3300</v>
      </c>
      <c r="F1011" s="114" t="s">
        <v>161</v>
      </c>
      <c r="G1011" s="114" t="s">
        <v>359</v>
      </c>
      <c r="H1011" s="115">
        <v>44773</v>
      </c>
    </row>
    <row r="1012" spans="1:9">
      <c r="A1012" s="114" t="s">
        <v>73</v>
      </c>
      <c r="B1012" s="114">
        <v>1836</v>
      </c>
      <c r="C1012" s="114" t="s">
        <v>275</v>
      </c>
      <c r="D1012" s="115">
        <v>44773</v>
      </c>
      <c r="E1012" s="114">
        <v>5200</v>
      </c>
      <c r="F1012" s="114" t="s">
        <v>89</v>
      </c>
      <c r="G1012" s="114" t="s">
        <v>359</v>
      </c>
      <c r="H1012" s="115">
        <v>44773</v>
      </c>
    </row>
    <row r="1013" spans="1:9">
      <c r="A1013" s="114" t="s">
        <v>115</v>
      </c>
      <c r="B1013" s="114">
        <v>3736</v>
      </c>
      <c r="C1013" s="114" t="s">
        <v>131</v>
      </c>
      <c r="D1013" s="115">
        <v>44773</v>
      </c>
      <c r="E1013" s="114">
        <v>1100</v>
      </c>
      <c r="F1013" s="114" t="s">
        <v>142</v>
      </c>
      <c r="G1013" s="114" t="s">
        <v>359</v>
      </c>
      <c r="H1013" s="115">
        <v>44773</v>
      </c>
    </row>
    <row r="1014" spans="1:9">
      <c r="A1014" s="114" t="s">
        <v>115</v>
      </c>
      <c r="B1014" s="114">
        <v>3737</v>
      </c>
      <c r="C1014" s="114" t="s">
        <v>128</v>
      </c>
      <c r="D1014" s="115">
        <v>44773</v>
      </c>
      <c r="E1014" s="114">
        <f>10200+1000</f>
        <v>11200</v>
      </c>
      <c r="F1014" s="114" t="s">
        <v>142</v>
      </c>
      <c r="G1014" s="114" t="s">
        <v>359</v>
      </c>
      <c r="H1014" s="115">
        <v>44773</v>
      </c>
    </row>
    <row r="1015" spans="1:9">
      <c r="A1015" s="114" t="s">
        <v>115</v>
      </c>
      <c r="B1015" s="114">
        <v>3738</v>
      </c>
      <c r="C1015" s="114" t="s">
        <v>134</v>
      </c>
      <c r="D1015" s="115">
        <v>44773</v>
      </c>
      <c r="E1015" s="114">
        <v>3200</v>
      </c>
      <c r="F1015" s="114" t="s">
        <v>135</v>
      </c>
      <c r="G1015" s="114" t="s">
        <v>359</v>
      </c>
      <c r="H1015" s="115">
        <v>44773</v>
      </c>
    </row>
    <row r="1016" spans="1:9">
      <c r="A1016" s="114" t="s">
        <v>73</v>
      </c>
      <c r="B1016" s="114">
        <v>1837</v>
      </c>
      <c r="C1016" s="114" t="s">
        <v>109</v>
      </c>
      <c r="D1016" s="115">
        <v>44773</v>
      </c>
      <c r="E1016" s="114">
        <v>2800</v>
      </c>
      <c r="F1016" s="114" t="s">
        <v>91</v>
      </c>
      <c r="G1016" s="114" t="s">
        <v>359</v>
      </c>
      <c r="H1016" s="115">
        <v>44775</v>
      </c>
    </row>
    <row r="1017" spans="1:9">
      <c r="A1017" s="114" t="s">
        <v>115</v>
      </c>
      <c r="B1017" s="114">
        <v>3739</v>
      </c>
      <c r="C1017" s="114" t="s">
        <v>147</v>
      </c>
      <c r="D1017" s="115">
        <v>44773</v>
      </c>
      <c r="E1017" s="114">
        <v>5600</v>
      </c>
      <c r="F1017" s="114" t="s">
        <v>89</v>
      </c>
      <c r="G1017" s="114" t="s">
        <v>359</v>
      </c>
      <c r="H1017" s="115">
        <v>44775</v>
      </c>
    </row>
    <row r="1018" spans="1:9">
      <c r="A1018" s="114" t="s">
        <v>115</v>
      </c>
      <c r="B1018" s="114">
        <v>3740</v>
      </c>
      <c r="C1018" s="114" t="s">
        <v>130</v>
      </c>
      <c r="D1018" s="115">
        <v>44773</v>
      </c>
      <c r="E1018" s="114">
        <v>1500</v>
      </c>
      <c r="F1018" s="114" t="s">
        <v>142</v>
      </c>
      <c r="G1018" s="114" t="s">
        <v>359</v>
      </c>
      <c r="H1018" s="115">
        <v>44775</v>
      </c>
    </row>
    <row r="1019" spans="1:9">
      <c r="A1019" s="114" t="s">
        <v>115</v>
      </c>
      <c r="B1019" s="114">
        <v>3741</v>
      </c>
      <c r="C1019" s="160" t="s">
        <v>152</v>
      </c>
      <c r="D1019" s="115">
        <v>44773</v>
      </c>
      <c r="E1019" s="114">
        <v>3600</v>
      </c>
      <c r="F1019" s="114" t="s">
        <v>164</v>
      </c>
      <c r="G1019" s="114" t="s">
        <v>359</v>
      </c>
      <c r="H1019" s="115">
        <v>44775</v>
      </c>
    </row>
    <row r="1020" spans="1:9">
      <c r="A1020" s="114" t="s">
        <v>73</v>
      </c>
      <c r="B1020" s="114">
        <v>1838</v>
      </c>
      <c r="C1020" s="114" t="s">
        <v>87</v>
      </c>
      <c r="D1020" s="115">
        <v>44773</v>
      </c>
      <c r="E1020" s="114">
        <v>1100</v>
      </c>
      <c r="F1020" s="114" t="s">
        <v>91</v>
      </c>
      <c r="G1020" s="114" t="s">
        <v>359</v>
      </c>
      <c r="H1020" s="115">
        <v>44775</v>
      </c>
    </row>
    <row r="1021" spans="1:9">
      <c r="A1021" s="114" t="s">
        <v>115</v>
      </c>
      <c r="B1021" s="114">
        <v>3742</v>
      </c>
      <c r="C1021" s="114" t="s">
        <v>129</v>
      </c>
      <c r="D1021" s="115">
        <v>44773</v>
      </c>
      <c r="E1021" s="114">
        <v>500</v>
      </c>
      <c r="F1021" s="114" t="s">
        <v>142</v>
      </c>
      <c r="G1021" s="114" t="s">
        <v>359</v>
      </c>
      <c r="H1021" s="115">
        <v>44775</v>
      </c>
    </row>
    <row r="1022" spans="1:9">
      <c r="A1022" s="114" t="s">
        <v>73</v>
      </c>
      <c r="B1022" s="114">
        <v>1839</v>
      </c>
      <c r="C1022" s="114" t="s">
        <v>292</v>
      </c>
      <c r="D1022" s="115">
        <v>44773</v>
      </c>
      <c r="E1022" s="114">
        <v>2800</v>
      </c>
      <c r="F1022" s="114" t="s">
        <v>107</v>
      </c>
      <c r="G1022" s="114" t="s">
        <v>359</v>
      </c>
      <c r="H1022" s="115">
        <v>44775</v>
      </c>
    </row>
    <row r="1023" spans="1:9">
      <c r="A1023" s="114" t="s">
        <v>115</v>
      </c>
      <c r="B1023" s="114">
        <v>3743</v>
      </c>
      <c r="C1023" s="114" t="s">
        <v>132</v>
      </c>
      <c r="D1023" s="115">
        <v>44773</v>
      </c>
      <c r="E1023" s="114">
        <v>3900</v>
      </c>
      <c r="F1023" s="114" t="s">
        <v>135</v>
      </c>
      <c r="G1023" s="114" t="s">
        <v>359</v>
      </c>
      <c r="H1023" s="115">
        <v>44775</v>
      </c>
    </row>
    <row r="1024" spans="1:9">
      <c r="A1024" s="114" t="s">
        <v>115</v>
      </c>
      <c r="B1024" s="114">
        <v>3744</v>
      </c>
      <c r="C1024" s="114" t="s">
        <v>141</v>
      </c>
      <c r="D1024" s="115">
        <v>44773</v>
      </c>
      <c r="E1024" s="114">
        <v>2000</v>
      </c>
      <c r="F1024" s="114" t="s">
        <v>142</v>
      </c>
      <c r="G1024" s="114" t="s">
        <v>359</v>
      </c>
      <c r="H1024" s="115">
        <v>44775</v>
      </c>
    </row>
    <row r="1025" spans="1:13">
      <c r="A1025" s="114" t="s">
        <v>73</v>
      </c>
      <c r="B1025" s="114">
        <v>1840</v>
      </c>
      <c r="C1025" s="114" t="s">
        <v>321</v>
      </c>
      <c r="D1025" s="115">
        <v>44773</v>
      </c>
      <c r="E1025" s="114">
        <v>2000</v>
      </c>
      <c r="F1025" s="114" t="s">
        <v>8</v>
      </c>
      <c r="G1025" s="114" t="s">
        <v>359</v>
      </c>
      <c r="H1025" s="115">
        <v>44775</v>
      </c>
    </row>
    <row r="1026" spans="1:13">
      <c r="A1026" s="114" t="s">
        <v>73</v>
      </c>
      <c r="B1026" s="114">
        <v>1841</v>
      </c>
      <c r="C1026" s="114" t="s">
        <v>81</v>
      </c>
      <c r="D1026" s="115">
        <v>44773</v>
      </c>
      <c r="E1026" s="114">
        <v>1800</v>
      </c>
      <c r="F1026" s="114" t="s">
        <v>92</v>
      </c>
      <c r="G1026" s="114" t="s">
        <v>359</v>
      </c>
      <c r="H1026" s="115">
        <v>44775</v>
      </c>
    </row>
    <row r="1027" spans="1:13">
      <c r="A1027" s="114" t="s">
        <v>115</v>
      </c>
      <c r="B1027" s="114">
        <v>3745</v>
      </c>
      <c r="C1027" s="114" t="s">
        <v>137</v>
      </c>
      <c r="D1027" s="115">
        <v>44773</v>
      </c>
      <c r="E1027" s="114">
        <v>4200</v>
      </c>
      <c r="F1027" s="114" t="s">
        <v>135</v>
      </c>
      <c r="G1027" s="114" t="s">
        <v>359</v>
      </c>
      <c r="H1027" s="115">
        <v>44775</v>
      </c>
    </row>
    <row r="1028" spans="1:13">
      <c r="A1028" s="114" t="s">
        <v>115</v>
      </c>
      <c r="B1028" s="114">
        <v>3746</v>
      </c>
      <c r="C1028" s="114" t="s">
        <v>149</v>
      </c>
      <c r="D1028" s="115">
        <v>44773</v>
      </c>
      <c r="E1028" s="114">
        <v>2600</v>
      </c>
      <c r="F1028" s="114" t="s">
        <v>8</v>
      </c>
      <c r="G1028" s="114" t="s">
        <v>359</v>
      </c>
      <c r="H1028" s="115">
        <v>44775</v>
      </c>
      <c r="I1028" t="s">
        <v>360</v>
      </c>
      <c r="K1028" s="161">
        <v>44743</v>
      </c>
      <c r="L1028">
        <v>2600</v>
      </c>
      <c r="M1028">
        <v>1500</v>
      </c>
    </row>
    <row r="1029" spans="1:13">
      <c r="A1029" s="114" t="s">
        <v>73</v>
      </c>
      <c r="B1029" s="114">
        <v>1842</v>
      </c>
      <c r="C1029" s="114" t="s">
        <v>99</v>
      </c>
      <c r="D1029" s="115">
        <v>44773</v>
      </c>
      <c r="E1029" s="114">
        <v>3600</v>
      </c>
      <c r="F1029" s="114" t="s">
        <v>112</v>
      </c>
      <c r="G1029" s="114" t="s">
        <v>359</v>
      </c>
      <c r="H1029" s="115">
        <v>44775</v>
      </c>
    </row>
    <row r="1030" spans="1:13">
      <c r="A1030" s="114" t="s">
        <v>73</v>
      </c>
      <c r="B1030" s="114">
        <v>1843</v>
      </c>
      <c r="C1030" s="114" t="s">
        <v>80</v>
      </c>
      <c r="D1030" s="115">
        <v>44773</v>
      </c>
      <c r="E1030" s="114">
        <v>1600</v>
      </c>
      <c r="F1030" s="114" t="s">
        <v>112</v>
      </c>
      <c r="G1030" s="114" t="s">
        <v>359</v>
      </c>
      <c r="H1030" s="115">
        <v>44775</v>
      </c>
    </row>
    <row r="1031" spans="1:13">
      <c r="A1031" s="114" t="s">
        <v>73</v>
      </c>
      <c r="B1031" s="114">
        <v>1844</v>
      </c>
      <c r="C1031" s="114" t="s">
        <v>96</v>
      </c>
      <c r="D1031" s="115">
        <v>44773</v>
      </c>
      <c r="E1031" s="114">
        <v>3600</v>
      </c>
      <c r="F1031" s="114" t="s">
        <v>112</v>
      </c>
      <c r="G1031" s="114" t="s">
        <v>359</v>
      </c>
      <c r="H1031" s="115">
        <v>44775</v>
      </c>
    </row>
    <row r="1032" spans="1:13">
      <c r="A1032" s="114" t="s">
        <v>115</v>
      </c>
      <c r="B1032" s="114">
        <v>3747</v>
      </c>
      <c r="C1032" s="114" t="s">
        <v>148</v>
      </c>
      <c r="D1032" s="115">
        <v>44773</v>
      </c>
      <c r="E1032" s="114">
        <v>4200</v>
      </c>
      <c r="F1032" s="114" t="s">
        <v>166</v>
      </c>
      <c r="G1032" s="114" t="s">
        <v>359</v>
      </c>
      <c r="H1032" s="115">
        <v>44775</v>
      </c>
    </row>
    <row r="1033" spans="1:13">
      <c r="A1033" s="114" t="s">
        <v>115</v>
      </c>
      <c r="B1033" s="114">
        <v>3748</v>
      </c>
      <c r="C1033" s="114" t="s">
        <v>138</v>
      </c>
      <c r="D1033" s="115">
        <v>44773</v>
      </c>
      <c r="E1033" s="114">
        <v>2800</v>
      </c>
      <c r="F1033" s="114" t="s">
        <v>135</v>
      </c>
      <c r="G1033" s="114" t="s">
        <v>359</v>
      </c>
      <c r="H1033" s="115">
        <v>44775</v>
      </c>
    </row>
    <row r="1034" spans="1:13">
      <c r="A1034" s="114" t="s">
        <v>73</v>
      </c>
      <c r="B1034" s="114">
        <v>1845</v>
      </c>
      <c r="C1034" s="114" t="s">
        <v>340</v>
      </c>
      <c r="D1034" s="115">
        <v>44773</v>
      </c>
      <c r="E1034" s="114">
        <v>1500</v>
      </c>
      <c r="F1034" s="114" t="s">
        <v>8</v>
      </c>
      <c r="G1034" s="114" t="s">
        <v>359</v>
      </c>
      <c r="H1034" s="115">
        <v>44775</v>
      </c>
      <c r="J1034" t="s">
        <v>58</v>
      </c>
    </row>
    <row r="1035" spans="1:13">
      <c r="A1035" s="114" t="s">
        <v>73</v>
      </c>
      <c r="B1035" s="114">
        <v>1846</v>
      </c>
      <c r="C1035" s="114" t="s">
        <v>79</v>
      </c>
      <c r="D1035" s="115">
        <v>44773</v>
      </c>
      <c r="E1035" s="114">
        <v>1600</v>
      </c>
      <c r="F1035" s="114" t="s">
        <v>3</v>
      </c>
      <c r="G1035" s="114" t="s">
        <v>359</v>
      </c>
      <c r="H1035" s="115">
        <v>44775</v>
      </c>
    </row>
    <row r="1036" spans="1:13">
      <c r="A1036" s="114" t="s">
        <v>73</v>
      </c>
      <c r="B1036" s="114">
        <v>1847</v>
      </c>
      <c r="C1036" s="114" t="s">
        <v>106</v>
      </c>
      <c r="D1036" s="115">
        <v>44773</v>
      </c>
      <c r="E1036" s="114">
        <v>2800</v>
      </c>
      <c r="F1036" s="114" t="s">
        <v>107</v>
      </c>
      <c r="G1036" s="114" t="s">
        <v>359</v>
      </c>
      <c r="H1036" s="115">
        <v>44775</v>
      </c>
    </row>
    <row r="1037" spans="1:13">
      <c r="A1037" s="114" t="s">
        <v>115</v>
      </c>
      <c r="B1037" s="114">
        <v>3749</v>
      </c>
      <c r="C1037" s="114" t="s">
        <v>237</v>
      </c>
      <c r="D1037" s="115">
        <v>44773</v>
      </c>
      <c r="E1037" s="114">
        <v>8500</v>
      </c>
      <c r="F1037" s="114" t="s">
        <v>238</v>
      </c>
      <c r="G1037" s="114" t="s">
        <v>359</v>
      </c>
      <c r="H1037" s="115">
        <v>44775</v>
      </c>
    </row>
    <row r="1038" spans="1:13">
      <c r="A1038" s="114" t="s">
        <v>115</v>
      </c>
      <c r="B1038" s="114">
        <v>3750</v>
      </c>
      <c r="C1038" s="114" t="s">
        <v>146</v>
      </c>
      <c r="D1038" s="115">
        <v>44773</v>
      </c>
      <c r="E1038" s="114">
        <v>2000</v>
      </c>
      <c r="F1038" s="114" t="s">
        <v>8</v>
      </c>
      <c r="G1038" s="114" t="s">
        <v>359</v>
      </c>
      <c r="H1038" s="115">
        <v>44775</v>
      </c>
    </row>
    <row r="1039" spans="1:13">
      <c r="A1039" s="114" t="s">
        <v>115</v>
      </c>
      <c r="B1039" s="114">
        <v>3751</v>
      </c>
      <c r="C1039" s="114" t="s">
        <v>315</v>
      </c>
      <c r="D1039" s="115">
        <v>44773</v>
      </c>
      <c r="E1039" s="114">
        <v>3000</v>
      </c>
      <c r="F1039" s="114" t="s">
        <v>157</v>
      </c>
      <c r="G1039" s="114" t="s">
        <v>359</v>
      </c>
      <c r="H1039" s="115">
        <v>44775</v>
      </c>
    </row>
    <row r="1040" spans="1:13">
      <c r="A1040" s="114" t="s">
        <v>115</v>
      </c>
      <c r="B1040" s="114">
        <v>3752</v>
      </c>
      <c r="C1040" s="114" t="s">
        <v>344</v>
      </c>
      <c r="D1040" s="115">
        <v>44773</v>
      </c>
      <c r="E1040" s="114">
        <v>3500</v>
      </c>
      <c r="F1040" s="114" t="s">
        <v>8</v>
      </c>
      <c r="G1040" s="114" t="s">
        <v>359</v>
      </c>
      <c r="H1040" s="115">
        <v>44775</v>
      </c>
    </row>
    <row r="1041" spans="1:8">
      <c r="A1041" s="114" t="s">
        <v>73</v>
      </c>
      <c r="B1041" s="114">
        <v>1848</v>
      </c>
      <c r="C1041" s="114" t="s">
        <v>110</v>
      </c>
      <c r="D1041" s="115">
        <v>44773</v>
      </c>
      <c r="E1041" s="114">
        <v>2800</v>
      </c>
      <c r="F1041" s="114" t="s">
        <v>107</v>
      </c>
      <c r="G1041" s="114" t="s">
        <v>359</v>
      </c>
      <c r="H1041" s="115">
        <v>44775</v>
      </c>
    </row>
    <row r="1042" spans="1:8">
      <c r="A1042" s="114" t="s">
        <v>115</v>
      </c>
      <c r="B1042" s="114">
        <v>3753</v>
      </c>
      <c r="C1042" s="114" t="s">
        <v>289</v>
      </c>
      <c r="D1042" s="115">
        <v>44773</v>
      </c>
      <c r="E1042" s="114">
        <v>2300</v>
      </c>
      <c r="F1042" s="114" t="s">
        <v>290</v>
      </c>
      <c r="G1042" s="114" t="s">
        <v>359</v>
      </c>
      <c r="H1042" s="115">
        <v>44775</v>
      </c>
    </row>
    <row r="1043" spans="1:8">
      <c r="A1043" s="114" t="s">
        <v>73</v>
      </c>
      <c r="B1043" s="114">
        <v>1849</v>
      </c>
      <c r="C1043" s="87" t="s">
        <v>207</v>
      </c>
      <c r="D1043" s="115">
        <v>44773</v>
      </c>
      <c r="E1043" s="114">
        <v>9000</v>
      </c>
      <c r="F1043" s="87" t="s">
        <v>93</v>
      </c>
      <c r="G1043" s="114" t="s">
        <v>359</v>
      </c>
      <c r="H1043" s="115">
        <v>44775</v>
      </c>
    </row>
    <row r="1044" spans="1:8">
      <c r="A1044" s="114" t="s">
        <v>73</v>
      </c>
      <c r="B1044" s="114">
        <v>1850</v>
      </c>
      <c r="C1044" t="s">
        <v>356</v>
      </c>
      <c r="D1044" s="115">
        <v>44773</v>
      </c>
      <c r="E1044">
        <v>6000</v>
      </c>
      <c r="F1044" t="s">
        <v>357</v>
      </c>
      <c r="G1044" s="114" t="s">
        <v>359</v>
      </c>
      <c r="H1044" s="115">
        <v>44775</v>
      </c>
    </row>
    <row r="1045" spans="1:8">
      <c r="A1045" s="114" t="s">
        <v>115</v>
      </c>
      <c r="B1045" s="114">
        <v>3754</v>
      </c>
      <c r="C1045" s="114" t="s">
        <v>127</v>
      </c>
      <c r="D1045" s="115">
        <v>44773</v>
      </c>
      <c r="E1045" s="114">
        <v>5600</v>
      </c>
      <c r="F1045" s="114" t="s">
        <v>157</v>
      </c>
      <c r="G1045" s="114" t="s">
        <v>359</v>
      </c>
      <c r="H1045" s="115">
        <v>44775</v>
      </c>
    </row>
    <row r="1046" spans="1:8">
      <c r="A1046" s="114" t="s">
        <v>115</v>
      </c>
      <c r="B1046" s="114">
        <v>3755</v>
      </c>
      <c r="C1046" s="114" t="s">
        <v>170</v>
      </c>
      <c r="D1046" s="115">
        <v>44801</v>
      </c>
      <c r="E1046" s="114">
        <v>3300</v>
      </c>
      <c r="F1046" s="114" t="s">
        <v>161</v>
      </c>
      <c r="G1046" s="114" t="s">
        <v>361</v>
      </c>
      <c r="H1046" s="115">
        <v>44801</v>
      </c>
    </row>
    <row r="1047" spans="1:8">
      <c r="A1047" s="114" t="s">
        <v>73</v>
      </c>
      <c r="B1047" s="114">
        <v>1851</v>
      </c>
      <c r="C1047" s="114" t="s">
        <v>275</v>
      </c>
      <c r="D1047" s="115">
        <v>44801</v>
      </c>
      <c r="E1047" s="114">
        <v>5200</v>
      </c>
      <c r="F1047" s="114" t="s">
        <v>89</v>
      </c>
      <c r="G1047" s="114" t="s">
        <v>361</v>
      </c>
      <c r="H1047" s="115">
        <v>44801</v>
      </c>
    </row>
    <row r="1048" spans="1:8">
      <c r="A1048" s="114" t="s">
        <v>115</v>
      </c>
      <c r="B1048" s="114">
        <v>3756</v>
      </c>
      <c r="C1048" s="114" t="s">
        <v>131</v>
      </c>
      <c r="D1048" s="115">
        <v>44801</v>
      </c>
      <c r="E1048" s="114">
        <v>1100</v>
      </c>
      <c r="F1048" s="114" t="s">
        <v>142</v>
      </c>
      <c r="G1048" s="114" t="s">
        <v>361</v>
      </c>
      <c r="H1048" s="115">
        <v>44801</v>
      </c>
    </row>
    <row r="1049" spans="1:8">
      <c r="A1049" s="114" t="s">
        <v>115</v>
      </c>
      <c r="B1049" s="114">
        <v>3757</v>
      </c>
      <c r="C1049" s="114" t="s">
        <v>128</v>
      </c>
      <c r="D1049" s="115">
        <v>44801</v>
      </c>
      <c r="E1049" s="114">
        <f>10200+1000</f>
        <v>11200</v>
      </c>
      <c r="F1049" s="114" t="s">
        <v>142</v>
      </c>
      <c r="G1049" s="114" t="s">
        <v>361</v>
      </c>
      <c r="H1049" s="115">
        <v>44801</v>
      </c>
    </row>
    <row r="1050" spans="1:8">
      <c r="A1050" s="114" t="s">
        <v>115</v>
      </c>
      <c r="B1050" s="114">
        <v>3758</v>
      </c>
      <c r="C1050" s="114" t="s">
        <v>134</v>
      </c>
      <c r="D1050" s="115">
        <v>44801</v>
      </c>
      <c r="E1050" s="114">
        <v>3200</v>
      </c>
      <c r="F1050" s="114" t="s">
        <v>135</v>
      </c>
      <c r="G1050" s="114" t="s">
        <v>361</v>
      </c>
      <c r="H1050" s="115">
        <v>44801</v>
      </c>
    </row>
    <row r="1051" spans="1:8">
      <c r="A1051" s="114" t="s">
        <v>73</v>
      </c>
      <c r="B1051" s="114">
        <v>1852</v>
      </c>
      <c r="C1051" s="114" t="s">
        <v>109</v>
      </c>
      <c r="D1051" s="115">
        <v>44801</v>
      </c>
      <c r="E1051" s="114">
        <v>2800</v>
      </c>
      <c r="F1051" s="114" t="s">
        <v>91</v>
      </c>
      <c r="G1051" s="114" t="s">
        <v>361</v>
      </c>
      <c r="H1051" s="115">
        <v>44802</v>
      </c>
    </row>
    <row r="1052" spans="1:8">
      <c r="A1052" s="114" t="s">
        <v>115</v>
      </c>
      <c r="B1052" s="114">
        <v>3759</v>
      </c>
      <c r="C1052" s="114" t="s">
        <v>147</v>
      </c>
      <c r="D1052" s="115">
        <v>44801</v>
      </c>
      <c r="E1052" s="114">
        <v>5600</v>
      </c>
      <c r="F1052" s="114" t="s">
        <v>89</v>
      </c>
      <c r="G1052" s="114" t="s">
        <v>361</v>
      </c>
      <c r="H1052" s="115">
        <v>44802</v>
      </c>
    </row>
    <row r="1053" spans="1:8">
      <c r="A1053" s="114" t="s">
        <v>115</v>
      </c>
      <c r="B1053" s="114">
        <v>3760</v>
      </c>
      <c r="C1053" s="114" t="s">
        <v>130</v>
      </c>
      <c r="D1053" s="115">
        <v>44801</v>
      </c>
      <c r="E1053" s="114">
        <v>1500</v>
      </c>
      <c r="F1053" s="114" t="s">
        <v>142</v>
      </c>
      <c r="G1053" s="114" t="s">
        <v>361</v>
      </c>
      <c r="H1053" s="115">
        <v>44802</v>
      </c>
    </row>
    <row r="1054" spans="1:8">
      <c r="A1054" s="114" t="s">
        <v>115</v>
      </c>
      <c r="B1054" s="114">
        <v>3761</v>
      </c>
      <c r="C1054" s="160" t="s">
        <v>152</v>
      </c>
      <c r="D1054" s="115">
        <v>44801</v>
      </c>
      <c r="E1054" s="114">
        <v>3600</v>
      </c>
      <c r="F1054" s="114" t="s">
        <v>164</v>
      </c>
      <c r="G1054" s="114" t="s">
        <v>361</v>
      </c>
      <c r="H1054" s="115">
        <v>44802</v>
      </c>
    </row>
    <row r="1055" spans="1:8">
      <c r="A1055" s="114" t="s">
        <v>73</v>
      </c>
      <c r="B1055" s="114">
        <v>1853</v>
      </c>
      <c r="C1055" s="114" t="s">
        <v>87</v>
      </c>
      <c r="D1055" s="115">
        <v>44801</v>
      </c>
      <c r="E1055" s="114">
        <v>1100</v>
      </c>
      <c r="F1055" s="114" t="s">
        <v>91</v>
      </c>
      <c r="G1055" s="114" t="s">
        <v>361</v>
      </c>
      <c r="H1055" s="115">
        <v>44802</v>
      </c>
    </row>
    <row r="1056" spans="1:8">
      <c r="A1056" s="114" t="s">
        <v>115</v>
      </c>
      <c r="B1056" s="114">
        <v>3762</v>
      </c>
      <c r="C1056" s="114" t="s">
        <v>129</v>
      </c>
      <c r="D1056" s="115">
        <v>44801</v>
      </c>
      <c r="E1056" s="114">
        <v>500</v>
      </c>
      <c r="F1056" s="114" t="s">
        <v>142</v>
      </c>
      <c r="G1056" s="114" t="s">
        <v>361</v>
      </c>
      <c r="H1056" s="115">
        <v>44802</v>
      </c>
    </row>
    <row r="1057" spans="1:13">
      <c r="A1057" s="114" t="s">
        <v>73</v>
      </c>
      <c r="B1057" s="114">
        <v>1854</v>
      </c>
      <c r="C1057" s="114" t="s">
        <v>292</v>
      </c>
      <c r="D1057" s="115">
        <v>44801</v>
      </c>
      <c r="E1057" s="114">
        <v>2800</v>
      </c>
      <c r="F1057" s="114" t="s">
        <v>107</v>
      </c>
      <c r="G1057" s="114" t="s">
        <v>361</v>
      </c>
      <c r="H1057" s="115">
        <v>44802</v>
      </c>
    </row>
    <row r="1058" spans="1:13">
      <c r="A1058" s="114" t="s">
        <v>115</v>
      </c>
      <c r="B1058" s="114">
        <v>3763</v>
      </c>
      <c r="C1058" s="114" t="s">
        <v>132</v>
      </c>
      <c r="D1058" s="115">
        <v>44801</v>
      </c>
      <c r="E1058" s="114">
        <v>3900</v>
      </c>
      <c r="F1058" s="114" t="s">
        <v>135</v>
      </c>
      <c r="G1058" s="114" t="s">
        <v>361</v>
      </c>
      <c r="H1058" s="115">
        <v>44802</v>
      </c>
    </row>
    <row r="1059" spans="1:13">
      <c r="A1059" s="114" t="s">
        <v>115</v>
      </c>
      <c r="B1059" s="114">
        <v>3764</v>
      </c>
      <c r="C1059" s="114" t="s">
        <v>141</v>
      </c>
      <c r="D1059" s="115">
        <v>44801</v>
      </c>
      <c r="E1059" s="114">
        <v>2000</v>
      </c>
      <c r="F1059" s="114" t="s">
        <v>142</v>
      </c>
      <c r="G1059" s="114" t="s">
        <v>361</v>
      </c>
      <c r="H1059" s="115">
        <v>44802</v>
      </c>
    </row>
    <row r="1060" spans="1:13">
      <c r="A1060" s="114" t="s">
        <v>73</v>
      </c>
      <c r="B1060" s="114">
        <v>1855</v>
      </c>
      <c r="C1060" s="114" t="s">
        <v>321</v>
      </c>
      <c r="D1060" s="115">
        <v>44801</v>
      </c>
      <c r="E1060" s="114">
        <v>2000</v>
      </c>
      <c r="F1060" s="114" t="s">
        <v>8</v>
      </c>
      <c r="G1060" s="114" t="s">
        <v>361</v>
      </c>
      <c r="H1060" s="115">
        <v>44802</v>
      </c>
    </row>
    <row r="1061" spans="1:13">
      <c r="A1061" s="114" t="s">
        <v>73</v>
      </c>
      <c r="B1061" s="114">
        <v>1856</v>
      </c>
      <c r="C1061" s="87" t="s">
        <v>207</v>
      </c>
      <c r="D1061" s="115">
        <v>44801</v>
      </c>
      <c r="E1061" s="114">
        <v>9000</v>
      </c>
      <c r="F1061" s="87" t="s">
        <v>93</v>
      </c>
      <c r="G1061" s="114" t="s">
        <v>361</v>
      </c>
      <c r="H1061" s="115">
        <v>44802</v>
      </c>
    </row>
    <row r="1062" spans="1:13">
      <c r="A1062" s="114" t="s">
        <v>73</v>
      </c>
      <c r="B1062" s="114">
        <v>1857</v>
      </c>
      <c r="C1062" s="114" t="s">
        <v>81</v>
      </c>
      <c r="D1062" s="115">
        <v>44801</v>
      </c>
      <c r="E1062" s="114">
        <v>1800</v>
      </c>
      <c r="F1062" s="114" t="s">
        <v>92</v>
      </c>
      <c r="G1062" s="114" t="s">
        <v>361</v>
      </c>
      <c r="H1062" s="115">
        <v>44802</v>
      </c>
    </row>
    <row r="1063" spans="1:13">
      <c r="A1063" s="114" t="s">
        <v>115</v>
      </c>
      <c r="B1063" s="114">
        <v>3765</v>
      </c>
      <c r="C1063" s="114" t="s">
        <v>137</v>
      </c>
      <c r="D1063" s="115">
        <v>44801</v>
      </c>
      <c r="E1063" s="114">
        <v>4200</v>
      </c>
      <c r="F1063" s="114" t="s">
        <v>135</v>
      </c>
      <c r="G1063" s="114" t="s">
        <v>361</v>
      </c>
      <c r="H1063" s="115">
        <v>44802</v>
      </c>
    </row>
    <row r="1064" spans="1:13">
      <c r="A1064" s="114" t="s">
        <v>115</v>
      </c>
      <c r="B1064" s="114">
        <v>3766</v>
      </c>
      <c r="C1064" s="114" t="s">
        <v>149</v>
      </c>
      <c r="D1064" s="115">
        <v>44801</v>
      </c>
      <c r="E1064" s="114">
        <v>2600</v>
      </c>
      <c r="F1064" s="114" t="s">
        <v>8</v>
      </c>
      <c r="G1064" s="114" t="s">
        <v>361</v>
      </c>
      <c r="H1064" s="115">
        <v>44802</v>
      </c>
      <c r="I1064" t="s">
        <v>360</v>
      </c>
      <c r="K1064" s="161">
        <v>44774</v>
      </c>
      <c r="L1064">
        <v>2600</v>
      </c>
      <c r="M1064">
        <v>1500</v>
      </c>
    </row>
    <row r="1065" spans="1:13">
      <c r="A1065" s="114" t="s">
        <v>73</v>
      </c>
      <c r="B1065" s="114">
        <v>1858</v>
      </c>
      <c r="C1065" s="114" t="s">
        <v>99</v>
      </c>
      <c r="D1065" s="115">
        <v>44801</v>
      </c>
      <c r="E1065" s="114">
        <v>3600</v>
      </c>
      <c r="F1065" s="114" t="s">
        <v>112</v>
      </c>
      <c r="G1065" s="114" t="s">
        <v>361</v>
      </c>
      <c r="H1065" s="115">
        <v>44802</v>
      </c>
    </row>
    <row r="1066" spans="1:13">
      <c r="A1066" s="114" t="s">
        <v>73</v>
      </c>
      <c r="B1066" s="114">
        <v>1859</v>
      </c>
      <c r="C1066" s="114" t="s">
        <v>80</v>
      </c>
      <c r="D1066" s="115">
        <v>44801</v>
      </c>
      <c r="E1066" s="114">
        <v>1600</v>
      </c>
      <c r="F1066" s="114" t="s">
        <v>112</v>
      </c>
      <c r="G1066" s="114" t="s">
        <v>361</v>
      </c>
      <c r="H1066" s="115">
        <v>44802</v>
      </c>
    </row>
    <row r="1067" spans="1:13">
      <c r="A1067" s="114" t="s">
        <v>73</v>
      </c>
      <c r="B1067" s="114">
        <v>1860</v>
      </c>
      <c r="C1067" s="114" t="s">
        <v>96</v>
      </c>
      <c r="D1067" s="115">
        <v>44801</v>
      </c>
      <c r="E1067" s="114">
        <v>3600</v>
      </c>
      <c r="F1067" s="114" t="s">
        <v>112</v>
      </c>
      <c r="G1067" s="114" t="s">
        <v>361</v>
      </c>
      <c r="H1067" s="115">
        <v>44802</v>
      </c>
    </row>
    <row r="1068" spans="1:13">
      <c r="A1068" s="114" t="s">
        <v>115</v>
      </c>
      <c r="B1068" s="114">
        <v>3767</v>
      </c>
      <c r="C1068" s="114" t="s">
        <v>148</v>
      </c>
      <c r="D1068" s="115">
        <v>44801</v>
      </c>
      <c r="E1068" s="114">
        <v>4200</v>
      </c>
      <c r="F1068" s="114" t="s">
        <v>166</v>
      </c>
      <c r="G1068" s="114" t="s">
        <v>361</v>
      </c>
      <c r="H1068" s="115">
        <v>44802</v>
      </c>
    </row>
    <row r="1069" spans="1:13">
      <c r="A1069" s="114" t="s">
        <v>115</v>
      </c>
      <c r="B1069" s="114">
        <v>3768</v>
      </c>
      <c r="C1069" s="114" t="s">
        <v>138</v>
      </c>
      <c r="D1069" s="115">
        <v>44801</v>
      </c>
      <c r="E1069" s="114">
        <v>2800</v>
      </c>
      <c r="F1069" s="114" t="s">
        <v>135</v>
      </c>
      <c r="G1069" s="114" t="s">
        <v>361</v>
      </c>
      <c r="H1069" s="115">
        <v>44802</v>
      </c>
    </row>
    <row r="1070" spans="1:13">
      <c r="A1070" s="114" t="s">
        <v>73</v>
      </c>
      <c r="B1070" s="114">
        <v>1861</v>
      </c>
      <c r="C1070" s="114" t="s">
        <v>340</v>
      </c>
      <c r="D1070" s="115">
        <v>44801</v>
      </c>
      <c r="E1070" s="114">
        <v>1500</v>
      </c>
      <c r="F1070" s="114" t="s">
        <v>8</v>
      </c>
      <c r="G1070" s="114" t="s">
        <v>361</v>
      </c>
      <c r="H1070" s="115">
        <v>44802</v>
      </c>
      <c r="J1070" t="s">
        <v>58</v>
      </c>
    </row>
    <row r="1071" spans="1:13">
      <c r="A1071" s="114" t="s">
        <v>73</v>
      </c>
      <c r="B1071" s="114">
        <v>1862</v>
      </c>
      <c r="C1071" s="114" t="s">
        <v>79</v>
      </c>
      <c r="D1071" s="115">
        <v>44801</v>
      </c>
      <c r="E1071" s="114">
        <v>1600</v>
      </c>
      <c r="F1071" s="114" t="s">
        <v>3</v>
      </c>
      <c r="G1071" s="114" t="s">
        <v>361</v>
      </c>
      <c r="H1071" s="115">
        <v>44802</v>
      </c>
    </row>
    <row r="1072" spans="1:13">
      <c r="A1072" s="114" t="s">
        <v>115</v>
      </c>
      <c r="B1072" s="114">
        <v>3769</v>
      </c>
      <c r="C1072" s="114" t="s">
        <v>237</v>
      </c>
      <c r="D1072" s="115">
        <v>44801</v>
      </c>
      <c r="E1072" s="114">
        <v>8500</v>
      </c>
      <c r="F1072" s="114" t="s">
        <v>238</v>
      </c>
      <c r="G1072" s="114" t="s">
        <v>361</v>
      </c>
      <c r="H1072" s="115">
        <v>44802</v>
      </c>
    </row>
    <row r="1073" spans="1:13">
      <c r="A1073" s="114" t="s">
        <v>115</v>
      </c>
      <c r="B1073" s="114">
        <v>3770</v>
      </c>
      <c r="C1073" s="114" t="s">
        <v>146</v>
      </c>
      <c r="D1073" s="115">
        <v>44801</v>
      </c>
      <c r="E1073" s="114">
        <v>2000</v>
      </c>
      <c r="F1073" s="114" t="s">
        <v>8</v>
      </c>
      <c r="G1073" s="114" t="s">
        <v>361</v>
      </c>
      <c r="H1073" s="115">
        <v>44802</v>
      </c>
    </row>
    <row r="1074" spans="1:13">
      <c r="A1074" s="114" t="s">
        <v>115</v>
      </c>
      <c r="B1074" s="114">
        <v>3771</v>
      </c>
      <c r="C1074" s="114" t="s">
        <v>315</v>
      </c>
      <c r="D1074" s="115">
        <v>44801</v>
      </c>
      <c r="E1074" s="114">
        <v>3000</v>
      </c>
      <c r="F1074" s="114" t="s">
        <v>157</v>
      </c>
      <c r="G1074" s="114" t="s">
        <v>361</v>
      </c>
      <c r="H1074" s="115">
        <v>44802</v>
      </c>
    </row>
    <row r="1075" spans="1:13">
      <c r="A1075" s="114" t="s">
        <v>115</v>
      </c>
      <c r="B1075" s="114">
        <v>3772</v>
      </c>
      <c r="C1075" s="114" t="s">
        <v>344</v>
      </c>
      <c r="D1075" s="115">
        <v>44801</v>
      </c>
      <c r="E1075" s="114">
        <v>3500</v>
      </c>
      <c r="F1075" s="114" t="s">
        <v>8</v>
      </c>
      <c r="G1075" s="114" t="s">
        <v>361</v>
      </c>
      <c r="H1075" s="115">
        <v>44802</v>
      </c>
    </row>
    <row r="1076" spans="1:13">
      <c r="A1076" s="114" t="s">
        <v>73</v>
      </c>
      <c r="B1076" s="114">
        <v>1863</v>
      </c>
      <c r="C1076" s="114" t="s">
        <v>110</v>
      </c>
      <c r="D1076" s="115">
        <v>44801</v>
      </c>
      <c r="E1076" s="114">
        <v>2800</v>
      </c>
      <c r="F1076" s="114" t="s">
        <v>107</v>
      </c>
      <c r="G1076" s="114" t="s">
        <v>361</v>
      </c>
      <c r="H1076" s="115">
        <v>44802</v>
      </c>
    </row>
    <row r="1077" spans="1:13">
      <c r="A1077" s="114" t="s">
        <v>115</v>
      </c>
      <c r="B1077" s="114">
        <v>3773</v>
      </c>
      <c r="C1077" s="114" t="s">
        <v>289</v>
      </c>
      <c r="D1077" s="115">
        <v>44801</v>
      </c>
      <c r="E1077" s="114">
        <v>2300</v>
      </c>
      <c r="F1077" s="114" t="s">
        <v>290</v>
      </c>
      <c r="G1077" s="114" t="s">
        <v>361</v>
      </c>
      <c r="H1077" s="115">
        <v>44802</v>
      </c>
    </row>
    <row r="1078" spans="1:13">
      <c r="A1078" s="114" t="s">
        <v>73</v>
      </c>
      <c r="B1078" s="114">
        <v>1864</v>
      </c>
      <c r="C1078" t="s">
        <v>356</v>
      </c>
      <c r="D1078" s="115">
        <v>44801</v>
      </c>
      <c r="E1078">
        <v>6000</v>
      </c>
      <c r="F1078" t="s">
        <v>357</v>
      </c>
      <c r="G1078" s="114" t="s">
        <v>361</v>
      </c>
      <c r="H1078" s="115">
        <v>44802</v>
      </c>
    </row>
    <row r="1079" spans="1:13">
      <c r="A1079" s="114" t="s">
        <v>115</v>
      </c>
      <c r="B1079" s="114">
        <v>3774</v>
      </c>
      <c r="C1079" s="114" t="s">
        <v>127</v>
      </c>
      <c r="D1079" s="115">
        <v>44801</v>
      </c>
      <c r="E1079" s="114">
        <v>5600</v>
      </c>
      <c r="F1079" s="114" t="s">
        <v>157</v>
      </c>
      <c r="G1079" s="114" t="s">
        <v>361</v>
      </c>
      <c r="H1079" s="115">
        <v>44802</v>
      </c>
    </row>
    <row r="1080" spans="1:13">
      <c r="A1080" s="114" t="s">
        <v>115</v>
      </c>
      <c r="B1080" t="s">
        <v>362</v>
      </c>
      <c r="C1080" s="114" t="s">
        <v>149</v>
      </c>
      <c r="D1080" t="s">
        <v>362</v>
      </c>
      <c r="E1080">
        <v>0</v>
      </c>
      <c r="F1080" t="s">
        <v>362</v>
      </c>
      <c r="G1080" s="114" t="s">
        <v>363</v>
      </c>
      <c r="H1080" t="s">
        <v>362</v>
      </c>
      <c r="K1080" s="161">
        <v>44805</v>
      </c>
      <c r="M1080">
        <v>1500</v>
      </c>
    </row>
    <row r="1081" spans="1:13">
      <c r="A1081" s="114" t="s">
        <v>115</v>
      </c>
      <c r="B1081" s="114">
        <v>3810</v>
      </c>
      <c r="C1081" s="114" t="s">
        <v>149</v>
      </c>
      <c r="D1081" s="115">
        <v>44865</v>
      </c>
      <c r="E1081" s="114">
        <v>800</v>
      </c>
      <c r="F1081" s="114" t="s">
        <v>8</v>
      </c>
      <c r="G1081" s="114" t="s">
        <v>364</v>
      </c>
      <c r="H1081" s="115">
        <v>44867</v>
      </c>
      <c r="K1081" s="161">
        <v>44835</v>
      </c>
      <c r="L1081">
        <v>800</v>
      </c>
      <c r="M1081">
        <v>1500</v>
      </c>
    </row>
    <row r="1082" spans="1:13">
      <c r="A1082" s="114" t="s">
        <v>115</v>
      </c>
      <c r="B1082" s="114">
        <v>3775</v>
      </c>
      <c r="C1082" s="114" t="s">
        <v>170</v>
      </c>
      <c r="D1082" s="115">
        <v>44832</v>
      </c>
      <c r="E1082" s="114">
        <v>3300</v>
      </c>
      <c r="F1082" s="114" t="s">
        <v>161</v>
      </c>
      <c r="G1082" s="114" t="s">
        <v>363</v>
      </c>
      <c r="H1082" s="115">
        <v>44832</v>
      </c>
      <c r="L1082">
        <v>5200</v>
      </c>
      <c r="M1082">
        <v>6000</v>
      </c>
    </row>
    <row r="1083" spans="1:13">
      <c r="A1083" s="114" t="s">
        <v>73</v>
      </c>
      <c r="B1083" s="114">
        <v>1865</v>
      </c>
      <c r="C1083" s="114" t="s">
        <v>354</v>
      </c>
      <c r="D1083" s="115">
        <v>44832</v>
      </c>
      <c r="E1083" s="114">
        <f>2500*3</f>
        <v>7500</v>
      </c>
      <c r="F1083" s="114" t="s">
        <v>8</v>
      </c>
      <c r="G1083" t="s">
        <v>365</v>
      </c>
      <c r="H1083" s="115">
        <v>44832</v>
      </c>
    </row>
    <row r="1084" spans="1:13">
      <c r="A1084" s="114" t="s">
        <v>115</v>
      </c>
      <c r="B1084" s="114">
        <v>3776</v>
      </c>
      <c r="C1084" s="114" t="s">
        <v>190</v>
      </c>
      <c r="D1084" s="115">
        <v>44832</v>
      </c>
      <c r="E1084" s="114">
        <f>3100*3</f>
        <v>9300</v>
      </c>
      <c r="F1084" s="114" t="s">
        <v>142</v>
      </c>
      <c r="G1084" s="114" t="s">
        <v>365</v>
      </c>
      <c r="H1084" s="115">
        <v>44832</v>
      </c>
    </row>
    <row r="1085" spans="1:13">
      <c r="A1085" s="114" t="s">
        <v>73</v>
      </c>
      <c r="B1085" s="114">
        <v>1866</v>
      </c>
      <c r="C1085" s="114" t="s">
        <v>275</v>
      </c>
      <c r="D1085" s="115">
        <v>44832</v>
      </c>
      <c r="E1085" s="114">
        <v>5200</v>
      </c>
      <c r="F1085" s="114" t="s">
        <v>89</v>
      </c>
      <c r="G1085" s="114" t="s">
        <v>363</v>
      </c>
      <c r="H1085" s="115">
        <v>44832</v>
      </c>
    </row>
    <row r="1086" spans="1:13">
      <c r="A1086" s="114" t="s">
        <v>115</v>
      </c>
      <c r="B1086" s="114">
        <v>3777</v>
      </c>
      <c r="C1086" s="114" t="s">
        <v>131</v>
      </c>
      <c r="D1086" s="115">
        <v>44832</v>
      </c>
      <c r="E1086" s="114">
        <v>1100</v>
      </c>
      <c r="F1086" s="114" t="s">
        <v>142</v>
      </c>
      <c r="G1086" s="114" t="s">
        <v>363</v>
      </c>
      <c r="H1086" s="115">
        <v>44832</v>
      </c>
    </row>
    <row r="1087" spans="1:13">
      <c r="A1087" s="114" t="s">
        <v>115</v>
      </c>
      <c r="B1087" s="114">
        <v>3778</v>
      </c>
      <c r="C1087" s="114" t="s">
        <v>128</v>
      </c>
      <c r="D1087" s="115">
        <v>44832</v>
      </c>
      <c r="E1087" s="114">
        <f>10200+1000</f>
        <v>11200</v>
      </c>
      <c r="F1087" s="114" t="s">
        <v>142</v>
      </c>
      <c r="G1087" s="114" t="s">
        <v>363</v>
      </c>
      <c r="H1087" s="115">
        <v>44832</v>
      </c>
    </row>
    <row r="1088" spans="1:13">
      <c r="A1088" s="114" t="s">
        <v>115</v>
      </c>
      <c r="B1088" s="114">
        <v>3779</v>
      </c>
      <c r="C1088" s="114" t="s">
        <v>134</v>
      </c>
      <c r="D1088" s="115">
        <v>44832</v>
      </c>
      <c r="E1088" s="114">
        <v>3200</v>
      </c>
      <c r="F1088" s="114" t="s">
        <v>135</v>
      </c>
      <c r="G1088" s="114" t="s">
        <v>363</v>
      </c>
      <c r="H1088" s="115">
        <v>44832</v>
      </c>
    </row>
    <row r="1089" spans="1:8">
      <c r="A1089" s="114" t="s">
        <v>73</v>
      </c>
      <c r="B1089" s="114">
        <v>1867</v>
      </c>
      <c r="C1089" s="114" t="s">
        <v>109</v>
      </c>
      <c r="D1089" s="115">
        <v>44833</v>
      </c>
      <c r="E1089" s="114">
        <v>2800</v>
      </c>
      <c r="F1089" s="114" t="s">
        <v>91</v>
      </c>
      <c r="G1089" s="114" t="s">
        <v>363</v>
      </c>
      <c r="H1089" s="115">
        <v>44833</v>
      </c>
    </row>
    <row r="1090" spans="1:8">
      <c r="A1090" s="114" t="s">
        <v>115</v>
      </c>
      <c r="B1090" s="114">
        <v>3780</v>
      </c>
      <c r="C1090" s="114" t="s">
        <v>147</v>
      </c>
      <c r="D1090" s="115">
        <v>44833</v>
      </c>
      <c r="E1090" s="114">
        <v>5600</v>
      </c>
      <c r="F1090" s="114" t="s">
        <v>89</v>
      </c>
      <c r="G1090" s="114" t="s">
        <v>363</v>
      </c>
      <c r="H1090" s="115">
        <v>44833</v>
      </c>
    </row>
    <row r="1091" spans="1:8">
      <c r="A1091" s="114" t="s">
        <v>115</v>
      </c>
      <c r="B1091" s="114">
        <v>3781</v>
      </c>
      <c r="C1091" s="114" t="s">
        <v>130</v>
      </c>
      <c r="D1091" s="115">
        <v>44833</v>
      </c>
      <c r="E1091" s="114">
        <v>1500</v>
      </c>
      <c r="F1091" s="114" t="s">
        <v>142</v>
      </c>
      <c r="G1091" s="114" t="s">
        <v>363</v>
      </c>
      <c r="H1091" s="115">
        <v>44833</v>
      </c>
    </row>
    <row r="1092" spans="1:8">
      <c r="A1092" s="114" t="s">
        <v>73</v>
      </c>
      <c r="B1092" s="114">
        <v>1868</v>
      </c>
      <c r="C1092" s="114" t="s">
        <v>87</v>
      </c>
      <c r="D1092" s="115">
        <v>44833</v>
      </c>
      <c r="E1092" s="114">
        <v>1100</v>
      </c>
      <c r="F1092" s="114" t="s">
        <v>91</v>
      </c>
      <c r="G1092" s="114" t="s">
        <v>363</v>
      </c>
      <c r="H1092" s="115">
        <v>44833</v>
      </c>
    </row>
    <row r="1093" spans="1:8">
      <c r="A1093" s="114" t="s">
        <v>73</v>
      </c>
      <c r="B1093" s="114">
        <v>1869</v>
      </c>
      <c r="C1093" s="114" t="s">
        <v>292</v>
      </c>
      <c r="D1093" s="115">
        <v>44833</v>
      </c>
      <c r="E1093" s="114">
        <v>2800</v>
      </c>
      <c r="F1093" s="114" t="s">
        <v>107</v>
      </c>
      <c r="G1093" s="114" t="s">
        <v>363</v>
      </c>
      <c r="H1093" s="115">
        <v>44833</v>
      </c>
    </row>
    <row r="1094" spans="1:8">
      <c r="A1094" s="114" t="s">
        <v>73</v>
      </c>
      <c r="B1094" s="114">
        <v>1870</v>
      </c>
      <c r="C1094" s="114" t="s">
        <v>321</v>
      </c>
      <c r="D1094" s="115">
        <v>44833</v>
      </c>
      <c r="E1094" s="114">
        <v>2000</v>
      </c>
      <c r="F1094" s="114" t="s">
        <v>8</v>
      </c>
      <c r="G1094" s="114" t="s">
        <v>363</v>
      </c>
      <c r="H1094" s="115">
        <v>44833</v>
      </c>
    </row>
    <row r="1095" spans="1:8">
      <c r="A1095" s="114" t="s">
        <v>73</v>
      </c>
      <c r="B1095" s="114">
        <v>1871</v>
      </c>
      <c r="C1095" s="87" t="s">
        <v>207</v>
      </c>
      <c r="D1095" s="115">
        <v>44833</v>
      </c>
      <c r="E1095" s="114">
        <v>9000</v>
      </c>
      <c r="F1095" s="87" t="s">
        <v>93</v>
      </c>
      <c r="G1095" s="114" t="s">
        <v>363</v>
      </c>
      <c r="H1095" s="115">
        <v>44833</v>
      </c>
    </row>
    <row r="1096" spans="1:8">
      <c r="A1096" s="114" t="s">
        <v>115</v>
      </c>
      <c r="B1096" s="114">
        <v>3782</v>
      </c>
      <c r="C1096" s="162" t="s">
        <v>153</v>
      </c>
      <c r="D1096" s="115">
        <v>44833</v>
      </c>
      <c r="E1096" s="114">
        <f>2100*3</f>
        <v>6300</v>
      </c>
      <c r="F1096" s="114" t="s">
        <v>168</v>
      </c>
      <c r="G1096" s="114" t="s">
        <v>365</v>
      </c>
      <c r="H1096" s="115">
        <v>44833</v>
      </c>
    </row>
    <row r="1097" spans="1:8">
      <c r="A1097" s="114" t="s">
        <v>115</v>
      </c>
      <c r="B1097" s="114">
        <v>3783</v>
      </c>
      <c r="C1097" s="129" t="s">
        <v>154</v>
      </c>
      <c r="D1097" s="115">
        <v>44833</v>
      </c>
      <c r="E1097" s="114">
        <f>2600*3</f>
        <v>7800</v>
      </c>
      <c r="F1097" s="87" t="s">
        <v>168</v>
      </c>
      <c r="G1097" s="114" t="s">
        <v>365</v>
      </c>
      <c r="H1097" s="115">
        <v>44833</v>
      </c>
    </row>
    <row r="1098" spans="1:8">
      <c r="A1098" s="114" t="s">
        <v>115</v>
      </c>
      <c r="B1098" s="114">
        <v>3784</v>
      </c>
      <c r="C1098" s="160" t="s">
        <v>152</v>
      </c>
      <c r="D1098" s="115">
        <v>44833</v>
      </c>
      <c r="E1098" s="114">
        <v>3600</v>
      </c>
      <c r="F1098" s="114" t="s">
        <v>164</v>
      </c>
      <c r="G1098" s="114" t="s">
        <v>363</v>
      </c>
      <c r="H1098" s="115">
        <v>44834</v>
      </c>
    </row>
    <row r="1099" spans="1:8">
      <c r="A1099" s="114" t="s">
        <v>115</v>
      </c>
      <c r="B1099" s="114">
        <v>3785</v>
      </c>
      <c r="C1099" s="114" t="s">
        <v>129</v>
      </c>
      <c r="D1099" s="115">
        <v>44834</v>
      </c>
      <c r="E1099" s="114">
        <v>500</v>
      </c>
      <c r="F1099" s="114" t="s">
        <v>142</v>
      </c>
      <c r="G1099" s="114" t="s">
        <v>363</v>
      </c>
      <c r="H1099" s="115">
        <v>44834</v>
      </c>
    </row>
    <row r="1100" spans="1:8">
      <c r="A1100" s="114" t="s">
        <v>115</v>
      </c>
      <c r="B1100" s="114">
        <v>3786</v>
      </c>
      <c r="C1100" s="114" t="s">
        <v>132</v>
      </c>
      <c r="D1100" s="115">
        <v>44834</v>
      </c>
      <c r="E1100" s="114">
        <v>3900</v>
      </c>
      <c r="F1100" s="114" t="s">
        <v>135</v>
      </c>
      <c r="G1100" s="114" t="s">
        <v>363</v>
      </c>
      <c r="H1100" s="115">
        <v>44834</v>
      </c>
    </row>
    <row r="1101" spans="1:8">
      <c r="A1101" s="114" t="s">
        <v>115</v>
      </c>
      <c r="B1101" s="114">
        <v>3787</v>
      </c>
      <c r="C1101" s="114" t="s">
        <v>141</v>
      </c>
      <c r="D1101" s="115">
        <v>44834</v>
      </c>
      <c r="E1101" s="114">
        <v>2000</v>
      </c>
      <c r="F1101" s="114" t="s">
        <v>142</v>
      </c>
      <c r="G1101" s="114" t="s">
        <v>363</v>
      </c>
      <c r="H1101" s="115">
        <v>44834</v>
      </c>
    </row>
    <row r="1102" spans="1:8">
      <c r="A1102" s="114" t="s">
        <v>73</v>
      </c>
      <c r="B1102" s="114">
        <v>1872</v>
      </c>
      <c r="C1102" s="114" t="s">
        <v>81</v>
      </c>
      <c r="D1102" s="115">
        <v>44834</v>
      </c>
      <c r="E1102" s="114">
        <v>1800</v>
      </c>
      <c r="F1102" s="114" t="s">
        <v>92</v>
      </c>
      <c r="G1102" s="114" t="s">
        <v>363</v>
      </c>
      <c r="H1102" s="115">
        <v>44834</v>
      </c>
    </row>
    <row r="1103" spans="1:8">
      <c r="A1103" s="114" t="s">
        <v>115</v>
      </c>
      <c r="B1103" s="114">
        <v>3788</v>
      </c>
      <c r="C1103" s="114" t="s">
        <v>137</v>
      </c>
      <c r="D1103" s="115">
        <v>44834</v>
      </c>
      <c r="E1103" s="114">
        <v>4200</v>
      </c>
      <c r="F1103" s="114" t="s">
        <v>135</v>
      </c>
      <c r="G1103" s="114" t="s">
        <v>363</v>
      </c>
      <c r="H1103" s="115">
        <v>44834</v>
      </c>
    </row>
    <row r="1104" spans="1:8">
      <c r="A1104" s="114" t="s">
        <v>73</v>
      </c>
      <c r="B1104" s="114">
        <v>1873</v>
      </c>
      <c r="C1104" s="114" t="s">
        <v>99</v>
      </c>
      <c r="D1104" s="115">
        <v>44834</v>
      </c>
      <c r="E1104" s="114">
        <v>3600</v>
      </c>
      <c r="F1104" s="114" t="s">
        <v>112</v>
      </c>
      <c r="G1104" s="114" t="s">
        <v>363</v>
      </c>
      <c r="H1104" s="115">
        <v>44834</v>
      </c>
    </row>
    <row r="1105" spans="1:10">
      <c r="A1105" s="114" t="s">
        <v>73</v>
      </c>
      <c r="B1105" s="114">
        <v>1874</v>
      </c>
      <c r="C1105" s="114" t="s">
        <v>80</v>
      </c>
      <c r="D1105" s="115">
        <v>44834</v>
      </c>
      <c r="E1105" s="114">
        <v>1600</v>
      </c>
      <c r="F1105" s="114" t="s">
        <v>112</v>
      </c>
      <c r="G1105" s="114" t="s">
        <v>363</v>
      </c>
      <c r="H1105" s="115">
        <v>44834</v>
      </c>
    </row>
    <row r="1106" spans="1:10">
      <c r="A1106" s="114" t="s">
        <v>73</v>
      </c>
      <c r="B1106" s="114">
        <v>1875</v>
      </c>
      <c r="C1106" s="114" t="s">
        <v>77</v>
      </c>
      <c r="D1106" s="115">
        <v>44834</v>
      </c>
      <c r="E1106" s="114">
        <v>2500</v>
      </c>
      <c r="F1106" s="114" t="s">
        <v>91</v>
      </c>
      <c r="G1106" s="114" t="s">
        <v>365</v>
      </c>
      <c r="H1106" s="115">
        <v>44834</v>
      </c>
    </row>
    <row r="1107" spans="1:10">
      <c r="A1107" s="114" t="s">
        <v>73</v>
      </c>
      <c r="B1107" s="114">
        <v>1876</v>
      </c>
      <c r="C1107" s="114" t="s">
        <v>86</v>
      </c>
      <c r="D1107" s="115">
        <v>44834</v>
      </c>
      <c r="E1107" s="114">
        <v>4800</v>
      </c>
      <c r="F1107" s="114" t="s">
        <v>8</v>
      </c>
      <c r="G1107" s="114" t="s">
        <v>365</v>
      </c>
      <c r="H1107" s="115">
        <v>44834</v>
      </c>
    </row>
    <row r="1108" spans="1:10">
      <c r="A1108" s="114" t="s">
        <v>73</v>
      </c>
      <c r="B1108" s="114">
        <v>1877</v>
      </c>
      <c r="C1108" s="114" t="s">
        <v>96</v>
      </c>
      <c r="D1108" s="115">
        <v>44834</v>
      </c>
      <c r="E1108" s="114">
        <v>3600</v>
      </c>
      <c r="F1108" s="114" t="s">
        <v>112</v>
      </c>
      <c r="G1108" s="114" t="s">
        <v>363</v>
      </c>
      <c r="H1108" s="115">
        <v>44834</v>
      </c>
    </row>
    <row r="1109" spans="1:10">
      <c r="A1109" s="114" t="s">
        <v>115</v>
      </c>
      <c r="B1109" s="114">
        <v>3789</v>
      </c>
      <c r="C1109" s="114" t="s">
        <v>148</v>
      </c>
      <c r="D1109" s="115">
        <v>44834</v>
      </c>
      <c r="E1109" s="114">
        <v>4200</v>
      </c>
      <c r="F1109" s="114" t="s">
        <v>166</v>
      </c>
      <c r="G1109" s="114" t="s">
        <v>363</v>
      </c>
      <c r="H1109" s="115">
        <v>44834</v>
      </c>
    </row>
    <row r="1110" spans="1:10">
      <c r="A1110" s="114" t="s">
        <v>115</v>
      </c>
      <c r="B1110" s="114">
        <v>3790</v>
      </c>
      <c r="C1110" s="114" t="s">
        <v>138</v>
      </c>
      <c r="D1110" s="115">
        <v>44834</v>
      </c>
      <c r="E1110" s="114">
        <v>2800</v>
      </c>
      <c r="F1110" s="114" t="s">
        <v>135</v>
      </c>
      <c r="G1110" s="114" t="s">
        <v>363</v>
      </c>
      <c r="H1110" s="115">
        <v>44834</v>
      </c>
    </row>
    <row r="1111" spans="1:10">
      <c r="A1111" s="114" t="s">
        <v>73</v>
      </c>
      <c r="B1111" s="114">
        <v>1878</v>
      </c>
      <c r="C1111" s="114" t="s">
        <v>340</v>
      </c>
      <c r="D1111" s="115">
        <v>44834</v>
      </c>
      <c r="E1111" s="114">
        <v>1500</v>
      </c>
      <c r="F1111" s="114" t="s">
        <v>8</v>
      </c>
      <c r="G1111" s="114" t="s">
        <v>363</v>
      </c>
      <c r="H1111" s="115">
        <v>44834</v>
      </c>
      <c r="J1111" t="s">
        <v>58</v>
      </c>
    </row>
    <row r="1112" spans="1:10">
      <c r="A1112" s="114" t="s">
        <v>73</v>
      </c>
      <c r="B1112" s="114">
        <v>1879</v>
      </c>
      <c r="C1112" s="114" t="s">
        <v>79</v>
      </c>
      <c r="D1112" s="115">
        <v>44834</v>
      </c>
      <c r="E1112" s="114">
        <v>1600</v>
      </c>
      <c r="F1112" s="114" t="s">
        <v>3</v>
      </c>
      <c r="G1112" s="114" t="s">
        <v>363</v>
      </c>
      <c r="H1112" s="115">
        <v>44834</v>
      </c>
    </row>
    <row r="1113" spans="1:10">
      <c r="A1113" s="114" t="s">
        <v>73</v>
      </c>
      <c r="B1113" s="114">
        <v>1880</v>
      </c>
      <c r="C1113" s="114" t="s">
        <v>106</v>
      </c>
      <c r="D1113" s="115">
        <v>44834</v>
      </c>
      <c r="E1113" s="114">
        <f>2800*2</f>
        <v>5600</v>
      </c>
      <c r="F1113" s="114" t="s">
        <v>107</v>
      </c>
      <c r="G1113" s="114" t="s">
        <v>366</v>
      </c>
      <c r="H1113" s="115">
        <v>44834</v>
      </c>
    </row>
    <row r="1114" spans="1:10">
      <c r="A1114" s="114" t="s">
        <v>115</v>
      </c>
      <c r="B1114" s="114">
        <v>3791</v>
      </c>
      <c r="C1114" s="114" t="s">
        <v>237</v>
      </c>
      <c r="D1114" s="115">
        <v>44834</v>
      </c>
      <c r="E1114" s="114">
        <v>8500</v>
      </c>
      <c r="F1114" s="114" t="s">
        <v>238</v>
      </c>
      <c r="G1114" s="114" t="s">
        <v>363</v>
      </c>
      <c r="H1114" s="115">
        <v>44834</v>
      </c>
    </row>
    <row r="1115" spans="1:10">
      <c r="A1115" s="114" t="s">
        <v>115</v>
      </c>
      <c r="B1115" s="114">
        <v>3792</v>
      </c>
      <c r="C1115" s="114" t="s">
        <v>146</v>
      </c>
      <c r="D1115" s="115">
        <v>44834</v>
      </c>
      <c r="E1115" s="114">
        <v>2000</v>
      </c>
      <c r="F1115" s="114" t="s">
        <v>8</v>
      </c>
      <c r="G1115" s="114" t="s">
        <v>363</v>
      </c>
      <c r="H1115" s="115">
        <v>44834</v>
      </c>
    </row>
    <row r="1116" spans="1:10">
      <c r="A1116" s="114" t="s">
        <v>115</v>
      </c>
      <c r="B1116" s="114">
        <v>3793</v>
      </c>
      <c r="C1116" s="114" t="s">
        <v>315</v>
      </c>
      <c r="D1116" s="115">
        <v>44834</v>
      </c>
      <c r="E1116" s="114">
        <v>3000</v>
      </c>
      <c r="F1116" s="114" t="s">
        <v>157</v>
      </c>
      <c r="G1116" s="114" t="s">
        <v>363</v>
      </c>
      <c r="H1116" s="115">
        <v>44834</v>
      </c>
    </row>
    <row r="1117" spans="1:10">
      <c r="A1117" s="114" t="s">
        <v>73</v>
      </c>
      <c r="B1117" s="114">
        <v>1881</v>
      </c>
      <c r="C1117" s="114" t="s">
        <v>101</v>
      </c>
      <c r="D1117" s="115">
        <v>44834</v>
      </c>
      <c r="E1117" s="114">
        <v>4800</v>
      </c>
      <c r="F1117" s="114" t="s">
        <v>8</v>
      </c>
      <c r="G1117" s="114" t="s">
        <v>365</v>
      </c>
      <c r="H1117" s="115">
        <v>44834</v>
      </c>
    </row>
    <row r="1118" spans="1:10">
      <c r="A1118" s="114" t="s">
        <v>115</v>
      </c>
      <c r="B1118" s="114">
        <v>3794</v>
      </c>
      <c r="C1118" s="114" t="s">
        <v>344</v>
      </c>
      <c r="D1118" s="115">
        <v>44834</v>
      </c>
      <c r="E1118" s="114">
        <v>3500</v>
      </c>
      <c r="F1118" s="114" t="s">
        <v>8</v>
      </c>
      <c r="G1118" s="114" t="s">
        <v>363</v>
      </c>
      <c r="H1118" s="115">
        <v>44835</v>
      </c>
    </row>
    <row r="1119" spans="1:10">
      <c r="A1119" s="114" t="s">
        <v>73</v>
      </c>
      <c r="B1119" s="114">
        <v>1882</v>
      </c>
      <c r="C1119" s="114" t="s">
        <v>110</v>
      </c>
      <c r="D1119" s="115">
        <v>44834</v>
      </c>
      <c r="E1119" s="114">
        <v>2800</v>
      </c>
      <c r="F1119" s="114" t="s">
        <v>107</v>
      </c>
      <c r="G1119" s="114" t="s">
        <v>363</v>
      </c>
      <c r="H1119" s="115">
        <v>44835</v>
      </c>
    </row>
    <row r="1120" spans="1:10">
      <c r="A1120" s="114" t="s">
        <v>115</v>
      </c>
      <c r="B1120" s="114">
        <v>3795</v>
      </c>
      <c r="C1120" s="114" t="s">
        <v>289</v>
      </c>
      <c r="D1120" s="115">
        <v>44834</v>
      </c>
      <c r="E1120" s="114">
        <v>2300</v>
      </c>
      <c r="F1120" s="114" t="s">
        <v>290</v>
      </c>
      <c r="G1120" s="114" t="s">
        <v>363</v>
      </c>
      <c r="H1120" s="115">
        <v>44835</v>
      </c>
    </row>
    <row r="1121" spans="1:9">
      <c r="A1121" s="114" t="s">
        <v>73</v>
      </c>
      <c r="B1121">
        <v>1883</v>
      </c>
      <c r="C1121" t="s">
        <v>356</v>
      </c>
      <c r="D1121" s="115">
        <v>44834</v>
      </c>
      <c r="E1121">
        <v>6000</v>
      </c>
      <c r="F1121" t="s">
        <v>357</v>
      </c>
      <c r="G1121" s="114" t="s">
        <v>363</v>
      </c>
      <c r="H1121" s="115">
        <v>44835</v>
      </c>
    </row>
    <row r="1122" spans="1:9">
      <c r="A1122" s="114" t="s">
        <v>115</v>
      </c>
      <c r="B1122" s="114">
        <v>3796</v>
      </c>
      <c r="C1122" s="114" t="s">
        <v>127</v>
      </c>
      <c r="D1122" s="115">
        <v>44834</v>
      </c>
      <c r="E1122" s="114">
        <v>5600</v>
      </c>
      <c r="F1122" s="114" t="s">
        <v>157</v>
      </c>
      <c r="G1122" s="114" t="s">
        <v>363</v>
      </c>
      <c r="H1122" s="115">
        <v>44835</v>
      </c>
    </row>
    <row r="1123" spans="1:9">
      <c r="A1123" s="114" t="s">
        <v>115</v>
      </c>
      <c r="B1123" s="114">
        <v>3797</v>
      </c>
      <c r="C1123" s="87" t="s">
        <v>140</v>
      </c>
      <c r="D1123" s="115">
        <v>44834</v>
      </c>
      <c r="E1123" s="114">
        <v>39600</v>
      </c>
      <c r="F1123" s="87" t="s">
        <v>25</v>
      </c>
      <c r="G1123" s="114" t="s">
        <v>365</v>
      </c>
      <c r="H1123" s="115">
        <v>44844</v>
      </c>
      <c r="I1123" t="s">
        <v>367</v>
      </c>
    </row>
    <row r="1124" spans="1:9">
      <c r="A1124" s="114" t="s">
        <v>115</v>
      </c>
      <c r="B1124" s="114">
        <v>3798</v>
      </c>
      <c r="C1124" s="87" t="s">
        <v>140</v>
      </c>
      <c r="D1124" s="115">
        <v>44834</v>
      </c>
      <c r="E1124" s="114">
        <v>7000</v>
      </c>
      <c r="F1124" s="87" t="s">
        <v>25</v>
      </c>
      <c r="G1124" s="99" t="s">
        <v>284</v>
      </c>
      <c r="H1124" s="115">
        <v>44844</v>
      </c>
    </row>
    <row r="1125" spans="1:9">
      <c r="A1125" s="114" t="s">
        <v>73</v>
      </c>
      <c r="B1125" s="114">
        <v>1884</v>
      </c>
      <c r="C1125" s="87" t="s">
        <v>140</v>
      </c>
      <c r="D1125" s="115">
        <v>44834</v>
      </c>
      <c r="E1125" s="114">
        <v>33000</v>
      </c>
      <c r="F1125" s="87" t="s">
        <v>25</v>
      </c>
      <c r="G1125" s="114" t="s">
        <v>365</v>
      </c>
      <c r="H1125" s="115">
        <v>44844</v>
      </c>
      <c r="I1125" t="s">
        <v>368</v>
      </c>
    </row>
    <row r="1126" spans="1:9">
      <c r="A1126" s="114" t="s">
        <v>73</v>
      </c>
      <c r="B1126" s="114">
        <v>1885</v>
      </c>
      <c r="C1126" s="114" t="s">
        <v>102</v>
      </c>
      <c r="D1126" s="115">
        <v>44834</v>
      </c>
      <c r="E1126" s="114">
        <v>5500</v>
      </c>
      <c r="F1126" s="114" t="s">
        <v>8</v>
      </c>
      <c r="G1126" s="114" t="s">
        <v>369</v>
      </c>
      <c r="H1126" s="115">
        <v>44847</v>
      </c>
    </row>
    <row r="1127" spans="1:9">
      <c r="A1127" s="114" t="s">
        <v>115</v>
      </c>
      <c r="B1127" s="114">
        <v>3799</v>
      </c>
      <c r="C1127" s="114" t="s">
        <v>170</v>
      </c>
      <c r="D1127" s="115">
        <v>44865</v>
      </c>
      <c r="E1127" s="114">
        <v>3300</v>
      </c>
      <c r="F1127" s="114" t="s">
        <v>161</v>
      </c>
      <c r="G1127" s="114" t="s">
        <v>364</v>
      </c>
      <c r="H1127" s="115">
        <v>44867</v>
      </c>
    </row>
    <row r="1128" spans="1:9">
      <c r="A1128" s="114" t="s">
        <v>73</v>
      </c>
      <c r="B1128" s="114">
        <v>1886</v>
      </c>
      <c r="C1128" s="114" t="s">
        <v>275</v>
      </c>
      <c r="D1128" s="115">
        <v>44865</v>
      </c>
      <c r="E1128" s="114">
        <v>5200</v>
      </c>
      <c r="F1128" s="114" t="s">
        <v>89</v>
      </c>
      <c r="G1128" s="114" t="s">
        <v>364</v>
      </c>
      <c r="H1128" s="115">
        <v>44867</v>
      </c>
      <c r="I1128" t="s">
        <v>370</v>
      </c>
    </row>
    <row r="1129" spans="1:9">
      <c r="A1129" s="114" t="s">
        <v>115</v>
      </c>
      <c r="B1129" s="114">
        <v>3800</v>
      </c>
      <c r="C1129" s="114" t="s">
        <v>131</v>
      </c>
      <c r="D1129" s="115">
        <v>44865</v>
      </c>
      <c r="E1129" s="114">
        <v>1100</v>
      </c>
      <c r="F1129" s="114" t="s">
        <v>142</v>
      </c>
      <c r="G1129" s="114" t="s">
        <v>364</v>
      </c>
      <c r="H1129" s="115">
        <v>44867</v>
      </c>
    </row>
    <row r="1130" spans="1:9">
      <c r="A1130" s="114" t="s">
        <v>115</v>
      </c>
      <c r="B1130" s="114">
        <v>3801</v>
      </c>
      <c r="C1130" s="114" t="s">
        <v>128</v>
      </c>
      <c r="D1130" s="115">
        <v>44865</v>
      </c>
      <c r="E1130" s="114">
        <f>10200+1000</f>
        <v>11200</v>
      </c>
      <c r="F1130" s="114" t="s">
        <v>142</v>
      </c>
      <c r="G1130" s="114" t="s">
        <v>364</v>
      </c>
      <c r="H1130" s="115">
        <v>44867</v>
      </c>
    </row>
    <row r="1131" spans="1:9">
      <c r="A1131" s="114" t="s">
        <v>115</v>
      </c>
      <c r="B1131" s="114">
        <v>3802</v>
      </c>
      <c r="C1131" s="114" t="s">
        <v>134</v>
      </c>
      <c r="D1131" s="115">
        <v>44865</v>
      </c>
      <c r="E1131" s="114">
        <v>3200</v>
      </c>
      <c r="F1131" s="114" t="s">
        <v>135</v>
      </c>
      <c r="G1131" s="114" t="s">
        <v>364</v>
      </c>
      <c r="H1131" s="115">
        <v>44867</v>
      </c>
    </row>
    <row r="1132" spans="1:9">
      <c r="A1132" s="114" t="s">
        <v>73</v>
      </c>
      <c r="B1132" s="114">
        <v>1887</v>
      </c>
      <c r="C1132" s="114" t="s">
        <v>109</v>
      </c>
      <c r="D1132" s="115">
        <v>44865</v>
      </c>
      <c r="E1132" s="114">
        <v>2800</v>
      </c>
      <c r="F1132" s="114" t="s">
        <v>91</v>
      </c>
      <c r="G1132" s="114" t="s">
        <v>364</v>
      </c>
      <c r="H1132" s="115">
        <v>44867</v>
      </c>
    </row>
    <row r="1133" spans="1:9">
      <c r="A1133" s="114" t="s">
        <v>115</v>
      </c>
      <c r="B1133" s="114">
        <v>3803</v>
      </c>
      <c r="C1133" s="114" t="s">
        <v>147</v>
      </c>
      <c r="D1133" s="115">
        <v>44865</v>
      </c>
      <c r="E1133" s="114">
        <v>5600</v>
      </c>
      <c r="F1133" s="114" t="s">
        <v>89</v>
      </c>
      <c r="G1133" s="114" t="s">
        <v>364</v>
      </c>
      <c r="H1133" s="115">
        <v>44867</v>
      </c>
    </row>
    <row r="1134" spans="1:9">
      <c r="A1134" s="114" t="s">
        <v>115</v>
      </c>
      <c r="B1134" s="114">
        <v>3804</v>
      </c>
      <c r="C1134" s="114" t="s">
        <v>130</v>
      </c>
      <c r="D1134" s="115">
        <v>44865</v>
      </c>
      <c r="E1134" s="114">
        <v>1500</v>
      </c>
      <c r="F1134" s="114" t="s">
        <v>142</v>
      </c>
      <c r="G1134" s="114" t="s">
        <v>364</v>
      </c>
      <c r="H1134" s="115">
        <v>44867</v>
      </c>
    </row>
    <row r="1135" spans="1:9">
      <c r="A1135" s="114" t="s">
        <v>115</v>
      </c>
      <c r="B1135" s="114">
        <v>3805</v>
      </c>
      <c r="C1135" s="160" t="s">
        <v>152</v>
      </c>
      <c r="D1135" s="115">
        <v>44865</v>
      </c>
      <c r="E1135" s="114">
        <v>3600</v>
      </c>
      <c r="F1135" s="114" t="s">
        <v>164</v>
      </c>
      <c r="G1135" s="114" t="s">
        <v>364</v>
      </c>
      <c r="H1135" s="115">
        <v>44867</v>
      </c>
    </row>
    <row r="1136" spans="1:9">
      <c r="A1136" s="114" t="s">
        <v>73</v>
      </c>
      <c r="B1136" s="114">
        <v>1888</v>
      </c>
      <c r="C1136" s="114" t="s">
        <v>87</v>
      </c>
      <c r="D1136" s="115">
        <v>44865</v>
      </c>
      <c r="E1136" s="114">
        <v>1100</v>
      </c>
      <c r="F1136" s="114" t="s">
        <v>91</v>
      </c>
      <c r="G1136" s="114" t="s">
        <v>364</v>
      </c>
      <c r="H1136" s="115">
        <v>44867</v>
      </c>
    </row>
    <row r="1137" spans="1:10">
      <c r="A1137" s="114" t="s">
        <v>115</v>
      </c>
      <c r="B1137" s="114">
        <v>3806</v>
      </c>
      <c r="C1137" s="114" t="s">
        <v>129</v>
      </c>
      <c r="D1137" s="115">
        <v>44865</v>
      </c>
      <c r="E1137" s="114">
        <v>500</v>
      </c>
      <c r="F1137" s="114" t="s">
        <v>142</v>
      </c>
      <c r="G1137" s="114" t="s">
        <v>364</v>
      </c>
      <c r="H1137" s="115">
        <v>44867</v>
      </c>
    </row>
    <row r="1138" spans="1:10">
      <c r="A1138" s="114" t="s">
        <v>73</v>
      </c>
      <c r="B1138" s="114">
        <v>1889</v>
      </c>
      <c r="C1138" s="114" t="s">
        <v>292</v>
      </c>
      <c r="D1138" s="115">
        <v>44865</v>
      </c>
      <c r="E1138" s="114">
        <v>2800</v>
      </c>
      <c r="F1138" s="114" t="s">
        <v>107</v>
      </c>
      <c r="G1138" s="114" t="s">
        <v>364</v>
      </c>
      <c r="H1138" s="115">
        <v>44867</v>
      </c>
    </row>
    <row r="1139" spans="1:10">
      <c r="A1139" s="114" t="s">
        <v>115</v>
      </c>
      <c r="B1139" s="114">
        <v>3807</v>
      </c>
      <c r="C1139" s="114" t="s">
        <v>132</v>
      </c>
      <c r="D1139" s="115">
        <v>44865</v>
      </c>
      <c r="E1139" s="114">
        <v>3900</v>
      </c>
      <c r="F1139" s="114" t="s">
        <v>135</v>
      </c>
      <c r="G1139" s="114" t="s">
        <v>364</v>
      </c>
      <c r="H1139" s="115">
        <v>44867</v>
      </c>
      <c r="I1139" t="s">
        <v>371</v>
      </c>
    </row>
    <row r="1140" spans="1:10">
      <c r="A1140" s="114" t="s">
        <v>115</v>
      </c>
      <c r="B1140" s="114">
        <v>3808</v>
      </c>
      <c r="C1140" s="114" t="s">
        <v>141</v>
      </c>
      <c r="D1140" s="115">
        <v>44865</v>
      </c>
      <c r="E1140" s="114">
        <v>2000</v>
      </c>
      <c r="F1140" s="114" t="s">
        <v>142</v>
      </c>
      <c r="G1140" s="114" t="s">
        <v>364</v>
      </c>
      <c r="H1140" s="115">
        <v>44867</v>
      </c>
    </row>
    <row r="1141" spans="1:10">
      <c r="A1141" s="114" t="s">
        <v>73</v>
      </c>
      <c r="B1141" s="114">
        <v>1890</v>
      </c>
      <c r="C1141" s="114" t="s">
        <v>321</v>
      </c>
      <c r="D1141" s="115">
        <v>44865</v>
      </c>
      <c r="E1141" s="114">
        <v>2000</v>
      </c>
      <c r="F1141" s="114" t="s">
        <v>8</v>
      </c>
      <c r="G1141" s="114" t="s">
        <v>364</v>
      </c>
      <c r="H1141" s="115">
        <v>44867</v>
      </c>
    </row>
    <row r="1142" spans="1:10">
      <c r="A1142" s="114" t="s">
        <v>73</v>
      </c>
      <c r="B1142" s="114">
        <v>1891</v>
      </c>
      <c r="C1142" s="87" t="s">
        <v>207</v>
      </c>
      <c r="D1142" s="115">
        <v>44865</v>
      </c>
      <c r="E1142" s="114">
        <v>9000</v>
      </c>
      <c r="F1142" s="87" t="s">
        <v>93</v>
      </c>
      <c r="G1142" s="114" t="s">
        <v>364</v>
      </c>
      <c r="H1142" s="115">
        <v>44867</v>
      </c>
    </row>
    <row r="1143" spans="1:10">
      <c r="A1143" s="114" t="s">
        <v>73</v>
      </c>
      <c r="B1143" s="114">
        <v>1892</v>
      </c>
      <c r="C1143" s="114" t="s">
        <v>81</v>
      </c>
      <c r="D1143" s="115">
        <v>44865</v>
      </c>
      <c r="E1143" s="114">
        <v>1800</v>
      </c>
      <c r="F1143" s="114" t="s">
        <v>92</v>
      </c>
      <c r="G1143" s="114" t="s">
        <v>364</v>
      </c>
      <c r="H1143" s="115">
        <v>44867</v>
      </c>
    </row>
    <row r="1144" spans="1:10">
      <c r="A1144" s="114" t="s">
        <v>115</v>
      </c>
      <c r="B1144" s="114">
        <v>3809</v>
      </c>
      <c r="C1144" s="114" t="s">
        <v>137</v>
      </c>
      <c r="D1144" s="115">
        <v>44865</v>
      </c>
      <c r="E1144" s="114">
        <v>4200</v>
      </c>
      <c r="F1144" s="114" t="s">
        <v>135</v>
      </c>
      <c r="G1144" s="114" t="s">
        <v>364</v>
      </c>
      <c r="H1144" s="115">
        <v>44867</v>
      </c>
    </row>
    <row r="1145" spans="1:10">
      <c r="A1145" s="114" t="s">
        <v>73</v>
      </c>
      <c r="B1145" s="114">
        <v>1893</v>
      </c>
      <c r="C1145" s="114" t="s">
        <v>99</v>
      </c>
      <c r="D1145" s="115">
        <v>44865</v>
      </c>
      <c r="E1145" s="114">
        <v>3600</v>
      </c>
      <c r="F1145" s="114" t="s">
        <v>112</v>
      </c>
      <c r="G1145" s="114" t="s">
        <v>364</v>
      </c>
      <c r="H1145" s="115">
        <v>44867</v>
      </c>
    </row>
    <row r="1146" spans="1:10">
      <c r="A1146" s="114" t="s">
        <v>73</v>
      </c>
      <c r="B1146" s="114">
        <v>1894</v>
      </c>
      <c r="C1146" s="114" t="s">
        <v>80</v>
      </c>
      <c r="D1146" s="115">
        <v>44865</v>
      </c>
      <c r="E1146" s="114">
        <v>1600</v>
      </c>
      <c r="F1146" s="114" t="s">
        <v>112</v>
      </c>
      <c r="G1146" s="114" t="s">
        <v>364</v>
      </c>
      <c r="H1146" s="115">
        <v>44867</v>
      </c>
    </row>
    <row r="1147" spans="1:10">
      <c r="A1147" s="114" t="s">
        <v>73</v>
      </c>
      <c r="B1147" s="114">
        <v>1895</v>
      </c>
      <c r="C1147" s="114" t="s">
        <v>96</v>
      </c>
      <c r="D1147" s="115">
        <v>44865</v>
      </c>
      <c r="E1147" s="114">
        <v>3600</v>
      </c>
      <c r="F1147" s="114" t="s">
        <v>112</v>
      </c>
      <c r="G1147" s="114" t="s">
        <v>364</v>
      </c>
      <c r="H1147" s="115">
        <v>44867</v>
      </c>
    </row>
    <row r="1148" spans="1:10">
      <c r="A1148" s="114" t="s">
        <v>115</v>
      </c>
      <c r="B1148" s="114">
        <v>3811</v>
      </c>
      <c r="C1148" s="114" t="s">
        <v>148</v>
      </c>
      <c r="D1148" s="115">
        <v>44865</v>
      </c>
      <c r="E1148" s="114">
        <v>4200</v>
      </c>
      <c r="F1148" s="114" t="s">
        <v>166</v>
      </c>
      <c r="G1148" s="114" t="s">
        <v>364</v>
      </c>
      <c r="H1148" s="115">
        <v>44867</v>
      </c>
    </row>
    <row r="1149" spans="1:10">
      <c r="A1149" s="114" t="s">
        <v>115</v>
      </c>
      <c r="B1149" s="114">
        <v>3812</v>
      </c>
      <c r="C1149" s="114" t="s">
        <v>138</v>
      </c>
      <c r="D1149" s="115">
        <v>44865</v>
      </c>
      <c r="E1149" s="114">
        <v>2800</v>
      </c>
      <c r="F1149" s="114" t="s">
        <v>135</v>
      </c>
      <c r="G1149" s="114" t="s">
        <v>364</v>
      </c>
      <c r="H1149" s="115">
        <v>44867</v>
      </c>
    </row>
    <row r="1150" spans="1:10">
      <c r="A1150" s="114" t="s">
        <v>73</v>
      </c>
      <c r="B1150" s="114">
        <v>1896</v>
      </c>
      <c r="C1150" s="114" t="s">
        <v>340</v>
      </c>
      <c r="D1150" s="115">
        <v>44865</v>
      </c>
      <c r="E1150" s="114">
        <v>1500</v>
      </c>
      <c r="F1150" s="114" t="s">
        <v>8</v>
      </c>
      <c r="G1150" s="114" t="s">
        <v>364</v>
      </c>
      <c r="H1150" s="115">
        <v>44867</v>
      </c>
      <c r="J1150" t="s">
        <v>58</v>
      </c>
    </row>
    <row r="1151" spans="1:10">
      <c r="A1151" s="114" t="s">
        <v>73</v>
      </c>
      <c r="B1151" s="114">
        <v>1897</v>
      </c>
      <c r="C1151" s="114" t="s">
        <v>79</v>
      </c>
      <c r="D1151" s="115">
        <v>44865</v>
      </c>
      <c r="E1151" s="114">
        <v>1600</v>
      </c>
      <c r="F1151" s="114" t="s">
        <v>3</v>
      </c>
      <c r="G1151" s="114" t="s">
        <v>364</v>
      </c>
      <c r="H1151" s="115">
        <v>44867</v>
      </c>
    </row>
    <row r="1152" spans="1:10">
      <c r="A1152" s="114" t="s">
        <v>73</v>
      </c>
      <c r="B1152" s="114">
        <v>1898</v>
      </c>
      <c r="C1152" s="114" t="s">
        <v>106</v>
      </c>
      <c r="D1152" s="115">
        <v>44865</v>
      </c>
      <c r="E1152" s="114">
        <v>2800</v>
      </c>
      <c r="F1152" s="114" t="s">
        <v>107</v>
      </c>
      <c r="G1152" s="114" t="s">
        <v>364</v>
      </c>
      <c r="H1152" s="115">
        <v>44867</v>
      </c>
    </row>
    <row r="1153" spans="1:8">
      <c r="A1153" s="114" t="s">
        <v>115</v>
      </c>
      <c r="B1153" s="114">
        <v>3813</v>
      </c>
      <c r="C1153" s="114" t="s">
        <v>237</v>
      </c>
      <c r="D1153" s="115">
        <v>44865</v>
      </c>
      <c r="E1153" s="114">
        <v>8500</v>
      </c>
      <c r="F1153" s="114" t="s">
        <v>238</v>
      </c>
      <c r="G1153" s="114" t="s">
        <v>364</v>
      </c>
      <c r="H1153" s="115">
        <v>44867</v>
      </c>
    </row>
    <row r="1154" spans="1:8">
      <c r="A1154" s="114" t="s">
        <v>115</v>
      </c>
      <c r="B1154" s="114">
        <v>3814</v>
      </c>
      <c r="C1154" s="114" t="s">
        <v>146</v>
      </c>
      <c r="D1154" s="115">
        <v>44865</v>
      </c>
      <c r="E1154" s="114">
        <v>2000</v>
      </c>
      <c r="F1154" s="114" t="s">
        <v>8</v>
      </c>
      <c r="G1154" s="114" t="s">
        <v>364</v>
      </c>
      <c r="H1154" s="115">
        <v>44867</v>
      </c>
    </row>
    <row r="1155" spans="1:8">
      <c r="A1155" s="114" t="s">
        <v>115</v>
      </c>
      <c r="B1155" s="114">
        <v>3815</v>
      </c>
      <c r="C1155" s="114" t="s">
        <v>315</v>
      </c>
      <c r="D1155" s="115">
        <v>44865</v>
      </c>
      <c r="E1155" s="114">
        <v>3000</v>
      </c>
      <c r="F1155" s="114" t="s">
        <v>157</v>
      </c>
      <c r="G1155" s="114" t="s">
        <v>364</v>
      </c>
      <c r="H1155" s="115">
        <v>44867</v>
      </c>
    </row>
    <row r="1156" spans="1:8">
      <c r="A1156" s="114" t="s">
        <v>115</v>
      </c>
      <c r="B1156" s="114">
        <v>3816</v>
      </c>
      <c r="C1156" s="114" t="s">
        <v>344</v>
      </c>
      <c r="D1156" s="115">
        <v>44865</v>
      </c>
      <c r="E1156" s="114">
        <v>3500</v>
      </c>
      <c r="F1156" s="114" t="s">
        <v>8</v>
      </c>
      <c r="G1156" s="114" t="s">
        <v>364</v>
      </c>
      <c r="H1156" s="115">
        <v>44867</v>
      </c>
    </row>
    <row r="1157" spans="1:8">
      <c r="A1157" s="114" t="s">
        <v>73</v>
      </c>
      <c r="B1157" s="114">
        <v>1899</v>
      </c>
      <c r="C1157" s="114" t="s">
        <v>110</v>
      </c>
      <c r="D1157" s="115">
        <v>44865</v>
      </c>
      <c r="E1157" s="114">
        <v>2800</v>
      </c>
      <c r="F1157" s="114" t="s">
        <v>107</v>
      </c>
      <c r="G1157" s="114" t="s">
        <v>364</v>
      </c>
      <c r="H1157" s="115">
        <v>44867</v>
      </c>
    </row>
    <row r="1158" spans="1:8">
      <c r="A1158" s="114" t="s">
        <v>115</v>
      </c>
      <c r="B1158" s="114">
        <v>3817</v>
      </c>
      <c r="C1158" s="114" t="s">
        <v>289</v>
      </c>
      <c r="D1158" s="115">
        <v>44865</v>
      </c>
      <c r="E1158" s="114">
        <v>2300</v>
      </c>
      <c r="F1158" s="114" t="s">
        <v>290</v>
      </c>
      <c r="G1158" s="114" t="s">
        <v>364</v>
      </c>
      <c r="H1158" s="115">
        <v>44867</v>
      </c>
    </row>
    <row r="1159" spans="1:8">
      <c r="A1159" s="114" t="s">
        <v>73</v>
      </c>
      <c r="B1159" s="114">
        <v>1900</v>
      </c>
      <c r="C1159" t="s">
        <v>356</v>
      </c>
      <c r="D1159" s="115">
        <v>44865</v>
      </c>
      <c r="E1159">
        <v>6000</v>
      </c>
      <c r="F1159" t="s">
        <v>357</v>
      </c>
      <c r="G1159" s="114" t="s">
        <v>364</v>
      </c>
      <c r="H1159" s="115"/>
    </row>
    <row r="1160" spans="1:8">
      <c r="A1160" s="114" t="s">
        <v>115</v>
      </c>
      <c r="B1160" s="114">
        <v>3818</v>
      </c>
      <c r="C1160" s="114" t="s">
        <v>127</v>
      </c>
      <c r="D1160" s="115">
        <v>44865</v>
      </c>
      <c r="E1160" s="114">
        <v>5600</v>
      </c>
      <c r="F1160" s="114" t="s">
        <v>157</v>
      </c>
      <c r="G1160" s="114" t="s">
        <v>364</v>
      </c>
      <c r="H1160" s="115">
        <v>44867</v>
      </c>
    </row>
    <row r="1161" spans="1:8">
      <c r="A1161" s="114" t="s">
        <v>115</v>
      </c>
      <c r="B1161" s="114">
        <v>3819</v>
      </c>
      <c r="C1161" s="114" t="s">
        <v>170</v>
      </c>
      <c r="D1161" s="115">
        <v>44891</v>
      </c>
      <c r="E1161" s="114">
        <v>3300</v>
      </c>
      <c r="F1161" s="114" t="s">
        <v>161</v>
      </c>
      <c r="G1161" s="114" t="s">
        <v>372</v>
      </c>
      <c r="H1161" s="115">
        <v>44893</v>
      </c>
    </row>
    <row r="1162" spans="1:8">
      <c r="A1162" s="114" t="s">
        <v>73</v>
      </c>
      <c r="B1162" s="114">
        <v>1901</v>
      </c>
      <c r="C1162" s="114" t="s">
        <v>275</v>
      </c>
      <c r="D1162" s="115">
        <v>44893</v>
      </c>
      <c r="E1162" s="114">
        <v>5200</v>
      </c>
      <c r="F1162" s="114" t="s">
        <v>89</v>
      </c>
      <c r="G1162" s="114" t="s">
        <v>372</v>
      </c>
      <c r="H1162" s="115">
        <v>44893</v>
      </c>
    </row>
    <row r="1163" spans="1:8">
      <c r="A1163" s="114" t="s">
        <v>115</v>
      </c>
      <c r="B1163" s="114">
        <v>3820</v>
      </c>
      <c r="C1163" s="114" t="s">
        <v>131</v>
      </c>
      <c r="D1163" s="115">
        <v>44893</v>
      </c>
      <c r="E1163" s="114">
        <v>1100</v>
      </c>
      <c r="F1163" s="114" t="s">
        <v>142</v>
      </c>
      <c r="G1163" s="114" t="s">
        <v>372</v>
      </c>
      <c r="H1163" s="115">
        <v>44893</v>
      </c>
    </row>
    <row r="1164" spans="1:8">
      <c r="A1164" s="114" t="s">
        <v>115</v>
      </c>
      <c r="B1164" s="114">
        <v>3821</v>
      </c>
      <c r="C1164" s="114" t="s">
        <v>128</v>
      </c>
      <c r="D1164" s="115">
        <v>44893</v>
      </c>
      <c r="E1164" s="114">
        <f>10200+1000</f>
        <v>11200</v>
      </c>
      <c r="F1164" s="114" t="s">
        <v>142</v>
      </c>
      <c r="G1164" s="114" t="s">
        <v>372</v>
      </c>
      <c r="H1164" s="115">
        <v>44893</v>
      </c>
    </row>
    <row r="1165" spans="1:8">
      <c r="A1165" s="114" t="s">
        <v>115</v>
      </c>
      <c r="B1165" s="114">
        <v>3822</v>
      </c>
      <c r="C1165" s="114" t="s">
        <v>134</v>
      </c>
      <c r="D1165" s="115">
        <v>44893</v>
      </c>
      <c r="E1165" s="114">
        <v>3200</v>
      </c>
      <c r="F1165" s="114" t="s">
        <v>135</v>
      </c>
      <c r="G1165" s="114" t="s">
        <v>372</v>
      </c>
      <c r="H1165" s="115">
        <v>44893</v>
      </c>
    </row>
    <row r="1166" spans="1:8">
      <c r="A1166" s="114" t="s">
        <v>73</v>
      </c>
      <c r="B1166" s="114">
        <v>1902</v>
      </c>
      <c r="C1166" s="114" t="s">
        <v>109</v>
      </c>
      <c r="D1166" s="115">
        <v>44893</v>
      </c>
      <c r="E1166" s="114">
        <v>2800</v>
      </c>
      <c r="F1166" s="114" t="s">
        <v>91</v>
      </c>
      <c r="G1166" s="114" t="s">
        <v>372</v>
      </c>
      <c r="H1166" s="115">
        <v>44893</v>
      </c>
    </row>
    <row r="1167" spans="1:8">
      <c r="A1167" s="114" t="s">
        <v>115</v>
      </c>
      <c r="B1167" s="114">
        <v>3823</v>
      </c>
      <c r="C1167" s="114" t="s">
        <v>147</v>
      </c>
      <c r="D1167" s="115">
        <v>44893</v>
      </c>
      <c r="E1167" s="114">
        <v>5600</v>
      </c>
      <c r="F1167" s="114" t="s">
        <v>89</v>
      </c>
      <c r="G1167" s="114" t="s">
        <v>372</v>
      </c>
      <c r="H1167" s="115">
        <v>44893</v>
      </c>
    </row>
    <row r="1168" spans="1:8">
      <c r="A1168" s="114" t="s">
        <v>115</v>
      </c>
      <c r="B1168" s="114">
        <v>3824</v>
      </c>
      <c r="C1168" s="114" t="s">
        <v>130</v>
      </c>
      <c r="D1168" s="115">
        <v>44893</v>
      </c>
      <c r="E1168" s="114">
        <v>1500</v>
      </c>
      <c r="F1168" s="114" t="s">
        <v>142</v>
      </c>
      <c r="G1168" s="114" t="s">
        <v>372</v>
      </c>
      <c r="H1168" s="115">
        <v>44893</v>
      </c>
    </row>
    <row r="1169" spans="1:8">
      <c r="A1169" s="114" t="s">
        <v>115</v>
      </c>
      <c r="B1169" s="114">
        <v>3825</v>
      </c>
      <c r="C1169" s="160" t="s">
        <v>152</v>
      </c>
      <c r="D1169" s="115">
        <v>44893</v>
      </c>
      <c r="E1169" s="114">
        <v>3600</v>
      </c>
      <c r="F1169" s="114" t="s">
        <v>164</v>
      </c>
      <c r="G1169" s="114" t="s">
        <v>372</v>
      </c>
      <c r="H1169" s="115">
        <v>44893</v>
      </c>
    </row>
    <row r="1170" spans="1:8">
      <c r="A1170" s="114" t="s">
        <v>73</v>
      </c>
      <c r="B1170" s="114">
        <v>1903</v>
      </c>
      <c r="C1170" s="114" t="s">
        <v>87</v>
      </c>
      <c r="D1170" s="115">
        <v>44893</v>
      </c>
      <c r="E1170" s="114">
        <v>1100</v>
      </c>
      <c r="F1170" s="114" t="s">
        <v>91</v>
      </c>
      <c r="G1170" s="114" t="s">
        <v>372</v>
      </c>
      <c r="H1170" s="115">
        <v>44893</v>
      </c>
    </row>
    <row r="1171" spans="1:8">
      <c r="A1171" s="114" t="s">
        <v>115</v>
      </c>
      <c r="B1171" s="114">
        <v>3826</v>
      </c>
      <c r="C1171" s="114" t="s">
        <v>129</v>
      </c>
      <c r="D1171" s="115">
        <v>44893</v>
      </c>
      <c r="E1171" s="114">
        <v>500</v>
      </c>
      <c r="F1171" s="114" t="s">
        <v>142</v>
      </c>
      <c r="G1171" s="114" t="s">
        <v>372</v>
      </c>
      <c r="H1171" s="115">
        <v>44893</v>
      </c>
    </row>
    <row r="1172" spans="1:8">
      <c r="A1172" s="114" t="s">
        <v>73</v>
      </c>
      <c r="B1172" s="114">
        <v>1904</v>
      </c>
      <c r="C1172" s="114" t="s">
        <v>292</v>
      </c>
      <c r="D1172" s="115">
        <v>44893</v>
      </c>
      <c r="E1172" s="114">
        <v>2800</v>
      </c>
      <c r="F1172" s="114" t="s">
        <v>107</v>
      </c>
      <c r="G1172" s="114" t="s">
        <v>372</v>
      </c>
      <c r="H1172" s="115">
        <v>44893</v>
      </c>
    </row>
    <row r="1173" spans="1:8">
      <c r="A1173" s="114" t="s">
        <v>115</v>
      </c>
      <c r="B1173" s="114">
        <v>3827</v>
      </c>
      <c r="C1173" s="114" t="s">
        <v>132</v>
      </c>
      <c r="D1173" s="115">
        <v>44893</v>
      </c>
      <c r="E1173" s="114">
        <v>3900</v>
      </c>
      <c r="F1173" s="114" t="s">
        <v>135</v>
      </c>
      <c r="G1173" s="114" t="s">
        <v>372</v>
      </c>
      <c r="H1173" s="115">
        <v>44893</v>
      </c>
    </row>
    <row r="1174" spans="1:8">
      <c r="A1174" s="114" t="s">
        <v>115</v>
      </c>
      <c r="B1174" s="114">
        <v>3828</v>
      </c>
      <c r="C1174" s="114" t="s">
        <v>141</v>
      </c>
      <c r="D1174" s="115">
        <v>44893</v>
      </c>
      <c r="E1174" s="114">
        <v>2000</v>
      </c>
      <c r="F1174" s="114" t="s">
        <v>142</v>
      </c>
      <c r="G1174" s="114" t="s">
        <v>372</v>
      </c>
      <c r="H1174" s="115">
        <v>44893</v>
      </c>
    </row>
    <row r="1175" spans="1:8">
      <c r="A1175" s="114" t="s">
        <v>73</v>
      </c>
      <c r="B1175" s="114">
        <v>1905</v>
      </c>
      <c r="C1175" s="114" t="s">
        <v>321</v>
      </c>
      <c r="D1175" s="115">
        <v>44893</v>
      </c>
      <c r="E1175" s="114">
        <v>2000</v>
      </c>
      <c r="F1175" s="114" t="s">
        <v>8</v>
      </c>
      <c r="G1175" s="114" t="s">
        <v>372</v>
      </c>
      <c r="H1175" s="115">
        <v>44893</v>
      </c>
    </row>
    <row r="1176" spans="1:8">
      <c r="A1176" s="114" t="s">
        <v>73</v>
      </c>
      <c r="B1176" s="114">
        <v>1906</v>
      </c>
      <c r="C1176" s="87" t="s">
        <v>207</v>
      </c>
      <c r="D1176" s="115">
        <v>44893</v>
      </c>
      <c r="E1176" s="114">
        <v>9000</v>
      </c>
      <c r="F1176" s="87" t="s">
        <v>93</v>
      </c>
      <c r="G1176" s="114" t="s">
        <v>372</v>
      </c>
      <c r="H1176" s="115">
        <v>44893</v>
      </c>
    </row>
    <row r="1177" spans="1:8">
      <c r="A1177" s="114" t="s">
        <v>73</v>
      </c>
      <c r="B1177" s="114">
        <v>1907</v>
      </c>
      <c r="C1177" s="114" t="s">
        <v>81</v>
      </c>
      <c r="D1177" s="115">
        <v>44893</v>
      </c>
      <c r="E1177" s="114">
        <v>1800</v>
      </c>
      <c r="F1177" s="114" t="s">
        <v>92</v>
      </c>
      <c r="G1177" s="114" t="s">
        <v>372</v>
      </c>
      <c r="H1177" s="115">
        <v>44893</v>
      </c>
    </row>
    <row r="1178" spans="1:8">
      <c r="A1178" s="114" t="s">
        <v>115</v>
      </c>
      <c r="B1178" s="114">
        <v>3829</v>
      </c>
      <c r="C1178" s="114" t="s">
        <v>137</v>
      </c>
      <c r="D1178" s="115">
        <v>44893</v>
      </c>
      <c r="E1178" s="114">
        <v>4200</v>
      </c>
      <c r="F1178" s="114" t="s">
        <v>135</v>
      </c>
      <c r="G1178" s="114" t="s">
        <v>372</v>
      </c>
      <c r="H1178" s="115">
        <v>44893</v>
      </c>
    </row>
    <row r="1179" spans="1:8">
      <c r="A1179" s="114" t="s">
        <v>115</v>
      </c>
      <c r="B1179" s="114">
        <v>3830</v>
      </c>
      <c r="C1179" s="114" t="s">
        <v>149</v>
      </c>
      <c r="D1179" s="115">
        <v>44893</v>
      </c>
      <c r="E1179" s="114">
        <v>1500</v>
      </c>
      <c r="F1179" s="114" t="s">
        <v>8</v>
      </c>
      <c r="G1179" s="114" t="s">
        <v>372</v>
      </c>
      <c r="H1179" s="115">
        <v>44893</v>
      </c>
    </row>
    <row r="1180" spans="1:8">
      <c r="A1180" s="114" t="s">
        <v>73</v>
      </c>
      <c r="B1180" s="114">
        <v>1908</v>
      </c>
      <c r="C1180" s="114" t="s">
        <v>99</v>
      </c>
      <c r="D1180" s="115">
        <v>44893</v>
      </c>
      <c r="E1180" s="114">
        <v>3600</v>
      </c>
      <c r="F1180" s="114" t="s">
        <v>112</v>
      </c>
      <c r="G1180" s="114" t="s">
        <v>372</v>
      </c>
      <c r="H1180" s="115">
        <v>44893</v>
      </c>
    </row>
    <row r="1181" spans="1:8">
      <c r="A1181" s="114" t="s">
        <v>73</v>
      </c>
      <c r="B1181" s="114">
        <v>1909</v>
      </c>
      <c r="C1181" s="114" t="s">
        <v>80</v>
      </c>
      <c r="D1181" s="115">
        <v>44893</v>
      </c>
      <c r="E1181" s="114">
        <v>1600</v>
      </c>
      <c r="F1181" s="114" t="s">
        <v>112</v>
      </c>
      <c r="G1181" s="114" t="s">
        <v>372</v>
      </c>
      <c r="H1181" s="115">
        <v>44893</v>
      </c>
    </row>
    <row r="1182" spans="1:8">
      <c r="A1182" s="114" t="s">
        <v>73</v>
      </c>
      <c r="B1182" s="114">
        <v>1910</v>
      </c>
      <c r="C1182" s="114" t="s">
        <v>96</v>
      </c>
      <c r="D1182" s="115">
        <v>44893</v>
      </c>
      <c r="E1182" s="114">
        <v>3600</v>
      </c>
      <c r="F1182" s="114" t="s">
        <v>112</v>
      </c>
      <c r="G1182" s="114" t="s">
        <v>372</v>
      </c>
      <c r="H1182" s="115">
        <v>44893</v>
      </c>
    </row>
    <row r="1183" spans="1:8">
      <c r="A1183" s="114" t="s">
        <v>115</v>
      </c>
      <c r="B1183" s="114">
        <v>3831</v>
      </c>
      <c r="C1183" s="114" t="s">
        <v>148</v>
      </c>
      <c r="D1183" s="115">
        <v>44893</v>
      </c>
      <c r="E1183" s="114">
        <v>4200</v>
      </c>
      <c r="F1183" s="114" t="s">
        <v>166</v>
      </c>
      <c r="G1183" s="114" t="s">
        <v>372</v>
      </c>
      <c r="H1183" s="115">
        <v>44893</v>
      </c>
    </row>
    <row r="1184" spans="1:8">
      <c r="A1184" s="114" t="s">
        <v>115</v>
      </c>
      <c r="B1184" s="114">
        <v>3832</v>
      </c>
      <c r="C1184" s="114" t="s">
        <v>138</v>
      </c>
      <c r="D1184" s="115">
        <v>44893</v>
      </c>
      <c r="E1184" s="114">
        <v>2800</v>
      </c>
      <c r="F1184" s="114" t="s">
        <v>135</v>
      </c>
      <c r="G1184" s="114" t="s">
        <v>372</v>
      </c>
      <c r="H1184" s="115">
        <v>44893</v>
      </c>
    </row>
    <row r="1185" spans="1:10">
      <c r="A1185" s="114" t="s">
        <v>73</v>
      </c>
      <c r="B1185" s="114">
        <v>1911</v>
      </c>
      <c r="C1185" s="114" t="s">
        <v>340</v>
      </c>
      <c r="D1185" s="115">
        <v>44893</v>
      </c>
      <c r="E1185" s="114">
        <v>1500</v>
      </c>
      <c r="F1185" s="114" t="s">
        <v>8</v>
      </c>
      <c r="G1185" s="114" t="s">
        <v>372</v>
      </c>
      <c r="H1185" s="115">
        <v>44893</v>
      </c>
      <c r="J1185" t="s">
        <v>58</v>
      </c>
    </row>
    <row r="1186" spans="1:10">
      <c r="A1186" s="114" t="s">
        <v>73</v>
      </c>
      <c r="B1186" s="114">
        <v>1912</v>
      </c>
      <c r="C1186" s="114" t="s">
        <v>79</v>
      </c>
      <c r="D1186" s="115">
        <v>44893</v>
      </c>
      <c r="E1186" s="114">
        <v>1600</v>
      </c>
      <c r="F1186" s="114" t="s">
        <v>3</v>
      </c>
      <c r="G1186" s="114" t="s">
        <v>372</v>
      </c>
      <c r="H1186" s="115">
        <v>44893</v>
      </c>
    </row>
    <row r="1187" spans="1:10">
      <c r="A1187" s="114" t="s">
        <v>73</v>
      </c>
      <c r="B1187" s="114">
        <v>1913</v>
      </c>
      <c r="C1187" s="114" t="s">
        <v>106</v>
      </c>
      <c r="D1187" s="115">
        <v>44893</v>
      </c>
      <c r="E1187" s="114">
        <v>2800</v>
      </c>
      <c r="F1187" s="114" t="s">
        <v>107</v>
      </c>
      <c r="G1187" s="114" t="s">
        <v>372</v>
      </c>
      <c r="H1187" s="115">
        <v>44893</v>
      </c>
    </row>
    <row r="1188" spans="1:10">
      <c r="A1188" s="114" t="s">
        <v>115</v>
      </c>
      <c r="B1188" s="114">
        <v>3833</v>
      </c>
      <c r="C1188" s="114" t="s">
        <v>237</v>
      </c>
      <c r="D1188" s="115">
        <v>44893</v>
      </c>
      <c r="E1188" s="114">
        <v>8500</v>
      </c>
      <c r="F1188" s="114" t="s">
        <v>238</v>
      </c>
      <c r="G1188" s="114" t="s">
        <v>372</v>
      </c>
      <c r="H1188" s="115">
        <v>44893</v>
      </c>
    </row>
    <row r="1189" spans="1:10">
      <c r="A1189" s="114" t="s">
        <v>115</v>
      </c>
      <c r="B1189" s="114">
        <v>3834</v>
      </c>
      <c r="C1189" s="114" t="s">
        <v>146</v>
      </c>
      <c r="D1189" s="115">
        <v>44893</v>
      </c>
      <c r="E1189" s="114">
        <v>2000</v>
      </c>
      <c r="F1189" s="114" t="s">
        <v>8</v>
      </c>
      <c r="G1189" s="114" t="s">
        <v>372</v>
      </c>
      <c r="H1189" s="115">
        <v>44893</v>
      </c>
    </row>
    <row r="1190" spans="1:10">
      <c r="A1190" s="114" t="s">
        <v>115</v>
      </c>
      <c r="B1190" s="114">
        <v>3835</v>
      </c>
      <c r="C1190" s="114" t="s">
        <v>315</v>
      </c>
      <c r="D1190" s="115">
        <v>44893</v>
      </c>
      <c r="E1190" s="114">
        <v>3000</v>
      </c>
      <c r="F1190" s="114" t="s">
        <v>157</v>
      </c>
      <c r="G1190" s="114" t="s">
        <v>372</v>
      </c>
      <c r="H1190" s="115">
        <v>44893</v>
      </c>
    </row>
    <row r="1191" spans="1:10">
      <c r="A1191" s="114" t="s">
        <v>115</v>
      </c>
      <c r="B1191" s="114">
        <v>3836</v>
      </c>
      <c r="C1191" s="114" t="s">
        <v>344</v>
      </c>
      <c r="D1191" s="115">
        <v>44893</v>
      </c>
      <c r="E1191" s="114">
        <v>3500</v>
      </c>
      <c r="F1191" s="114" t="s">
        <v>8</v>
      </c>
      <c r="G1191" s="114" t="s">
        <v>372</v>
      </c>
      <c r="H1191" s="115">
        <v>44893</v>
      </c>
    </row>
    <row r="1192" spans="1:10">
      <c r="A1192" s="114" t="s">
        <v>73</v>
      </c>
      <c r="B1192" s="114">
        <v>1914</v>
      </c>
      <c r="C1192" s="114" t="s">
        <v>110</v>
      </c>
      <c r="D1192" s="115">
        <v>44893</v>
      </c>
      <c r="E1192" s="114">
        <v>2800</v>
      </c>
      <c r="F1192" s="114" t="s">
        <v>107</v>
      </c>
      <c r="G1192" s="114" t="s">
        <v>372</v>
      </c>
      <c r="H1192" s="115">
        <v>44893</v>
      </c>
    </row>
    <row r="1193" spans="1:10">
      <c r="A1193" s="114" t="s">
        <v>115</v>
      </c>
      <c r="B1193" s="114">
        <v>3837</v>
      </c>
      <c r="C1193" s="114" t="s">
        <v>289</v>
      </c>
      <c r="D1193" s="115">
        <v>44893</v>
      </c>
      <c r="E1193" s="114">
        <v>2300</v>
      </c>
      <c r="F1193" s="114" t="s">
        <v>290</v>
      </c>
      <c r="G1193" s="114" t="s">
        <v>372</v>
      </c>
      <c r="H1193" s="115">
        <v>44893</v>
      </c>
    </row>
    <row r="1194" spans="1:10">
      <c r="A1194" s="114" t="s">
        <v>73</v>
      </c>
      <c r="B1194" s="114">
        <v>1915</v>
      </c>
      <c r="C1194" t="s">
        <v>356</v>
      </c>
      <c r="D1194" s="115">
        <v>44893</v>
      </c>
      <c r="E1194">
        <v>6000</v>
      </c>
      <c r="F1194" t="s">
        <v>357</v>
      </c>
      <c r="G1194" s="114" t="s">
        <v>372</v>
      </c>
      <c r="H1194" s="115">
        <v>44893</v>
      </c>
    </row>
    <row r="1195" spans="1:10">
      <c r="A1195" s="114" t="s">
        <v>115</v>
      </c>
      <c r="B1195" s="114">
        <v>3838</v>
      </c>
      <c r="C1195" s="114" t="s">
        <v>127</v>
      </c>
      <c r="D1195" s="115">
        <v>44893</v>
      </c>
      <c r="E1195" s="114">
        <v>5600</v>
      </c>
      <c r="F1195" s="114" t="s">
        <v>157</v>
      </c>
      <c r="G1195" s="114" t="s">
        <v>372</v>
      </c>
      <c r="H1195" s="115">
        <v>44893</v>
      </c>
    </row>
    <row r="1196" spans="1:10">
      <c r="A1196" s="114" t="s">
        <v>115</v>
      </c>
      <c r="B1196" s="114">
        <v>3839</v>
      </c>
      <c r="C1196" s="162" t="s">
        <v>153</v>
      </c>
      <c r="D1196" s="115">
        <v>44906</v>
      </c>
      <c r="E1196" s="114">
        <f>2100*3</f>
        <v>6300</v>
      </c>
      <c r="F1196" s="114" t="s">
        <v>168</v>
      </c>
      <c r="G1196" s="114" t="s">
        <v>373</v>
      </c>
      <c r="H1196" s="115">
        <v>44906</v>
      </c>
    </row>
    <row r="1197" spans="1:10">
      <c r="A1197" s="114" t="s">
        <v>115</v>
      </c>
      <c r="B1197" s="114">
        <v>3840</v>
      </c>
      <c r="C1197" s="129" t="s">
        <v>154</v>
      </c>
      <c r="D1197" s="115">
        <v>44906</v>
      </c>
      <c r="E1197" s="114">
        <f>2600*3</f>
        <v>7800</v>
      </c>
      <c r="F1197" s="87" t="s">
        <v>168</v>
      </c>
      <c r="G1197" s="114" t="s">
        <v>373</v>
      </c>
      <c r="H1197" s="115">
        <v>44906</v>
      </c>
    </row>
    <row r="1198" spans="1:10">
      <c r="A1198" s="114" t="s">
        <v>115</v>
      </c>
      <c r="B1198" s="114">
        <v>3841</v>
      </c>
      <c r="C1198" s="114" t="s">
        <v>170</v>
      </c>
      <c r="D1198" s="115">
        <v>44922</v>
      </c>
      <c r="E1198" s="114">
        <v>3300</v>
      </c>
      <c r="F1198" s="114" t="s">
        <v>161</v>
      </c>
      <c r="G1198" s="114" t="s">
        <v>374</v>
      </c>
      <c r="H1198" s="115">
        <v>44922</v>
      </c>
    </row>
    <row r="1199" spans="1:10">
      <c r="A1199" s="114" t="s">
        <v>73</v>
      </c>
      <c r="B1199" s="114">
        <v>1916</v>
      </c>
      <c r="C1199" s="114" t="s">
        <v>354</v>
      </c>
      <c r="D1199" s="115">
        <v>44922</v>
      </c>
      <c r="E1199" s="114">
        <f>2500*3</f>
        <v>7500</v>
      </c>
      <c r="F1199" s="114" t="s">
        <v>8</v>
      </c>
      <c r="G1199" s="114" t="s">
        <v>373</v>
      </c>
      <c r="H1199" s="115">
        <v>44922</v>
      </c>
    </row>
    <row r="1200" spans="1:10">
      <c r="A1200" s="114" t="s">
        <v>115</v>
      </c>
      <c r="B1200" s="114">
        <v>3842</v>
      </c>
      <c r="C1200" s="114" t="s">
        <v>190</v>
      </c>
      <c r="D1200" s="115">
        <v>44922</v>
      </c>
      <c r="E1200" s="114">
        <f>3100*3</f>
        <v>9300</v>
      </c>
      <c r="F1200" s="114" t="s">
        <v>142</v>
      </c>
      <c r="G1200" s="114" t="s">
        <v>373</v>
      </c>
      <c r="H1200" s="115">
        <v>44922</v>
      </c>
    </row>
    <row r="1201" spans="1:9">
      <c r="A1201" s="114" t="s">
        <v>73</v>
      </c>
      <c r="B1201" s="114">
        <v>1917</v>
      </c>
      <c r="C1201" s="114" t="s">
        <v>275</v>
      </c>
      <c r="D1201" s="115">
        <v>44922</v>
      </c>
      <c r="E1201" s="114">
        <v>5200</v>
      </c>
      <c r="F1201" s="114" t="s">
        <v>89</v>
      </c>
      <c r="G1201" s="114" t="s">
        <v>374</v>
      </c>
      <c r="H1201" s="115">
        <v>44922</v>
      </c>
    </row>
    <row r="1202" spans="1:9">
      <c r="A1202" s="114" t="s">
        <v>115</v>
      </c>
      <c r="B1202" s="114">
        <v>3843</v>
      </c>
      <c r="C1202" s="114" t="s">
        <v>131</v>
      </c>
      <c r="D1202" s="115">
        <v>44922</v>
      </c>
      <c r="E1202" s="114">
        <v>1100</v>
      </c>
      <c r="F1202" s="114" t="s">
        <v>142</v>
      </c>
      <c r="G1202" s="114" t="s">
        <v>374</v>
      </c>
      <c r="H1202" s="115">
        <v>44922</v>
      </c>
    </row>
    <row r="1203" spans="1:9">
      <c r="A1203" s="114" t="s">
        <v>115</v>
      </c>
      <c r="B1203" s="114">
        <v>3844</v>
      </c>
      <c r="C1203" s="114" t="s">
        <v>128</v>
      </c>
      <c r="D1203" s="115">
        <v>44922</v>
      </c>
      <c r="E1203" s="114">
        <f>10200+1000</f>
        <v>11200</v>
      </c>
      <c r="F1203" s="114" t="s">
        <v>142</v>
      </c>
      <c r="G1203" s="114" t="s">
        <v>374</v>
      </c>
      <c r="H1203" s="115">
        <v>44922</v>
      </c>
    </row>
    <row r="1204" spans="1:9">
      <c r="A1204" s="114" t="s">
        <v>115</v>
      </c>
      <c r="B1204" s="114">
        <v>3845</v>
      </c>
      <c r="C1204" s="114" t="s">
        <v>134</v>
      </c>
      <c r="D1204" s="115">
        <v>44923</v>
      </c>
      <c r="E1204" s="114">
        <v>3200</v>
      </c>
      <c r="F1204" s="114" t="s">
        <v>135</v>
      </c>
      <c r="G1204" s="114" t="s">
        <v>374</v>
      </c>
      <c r="H1204" s="115">
        <v>44923</v>
      </c>
    </row>
    <row r="1205" spans="1:9">
      <c r="A1205" s="114" t="s">
        <v>73</v>
      </c>
      <c r="B1205" s="114">
        <v>1918</v>
      </c>
      <c r="C1205" s="114" t="s">
        <v>109</v>
      </c>
      <c r="D1205" s="115">
        <v>44923</v>
      </c>
      <c r="E1205" s="114">
        <v>2800</v>
      </c>
      <c r="F1205" s="114" t="s">
        <v>91</v>
      </c>
      <c r="G1205" s="114" t="s">
        <v>374</v>
      </c>
      <c r="H1205" s="115">
        <v>44923</v>
      </c>
    </row>
    <row r="1206" spans="1:9">
      <c r="A1206" s="114" t="s">
        <v>115</v>
      </c>
      <c r="B1206" s="114">
        <v>3846</v>
      </c>
      <c r="C1206" s="114" t="s">
        <v>147</v>
      </c>
      <c r="D1206" s="115">
        <v>44923</v>
      </c>
      <c r="E1206" s="114">
        <v>5600</v>
      </c>
      <c r="F1206" s="114" t="s">
        <v>89</v>
      </c>
      <c r="G1206" s="114" t="s">
        <v>374</v>
      </c>
      <c r="H1206" s="115">
        <v>44923</v>
      </c>
    </row>
    <row r="1207" spans="1:9">
      <c r="A1207" s="114" t="s">
        <v>115</v>
      </c>
      <c r="B1207" s="114">
        <v>3847</v>
      </c>
      <c r="C1207" s="114" t="s">
        <v>130</v>
      </c>
      <c r="D1207" s="115">
        <v>44923</v>
      </c>
      <c r="E1207" s="114">
        <v>1500</v>
      </c>
      <c r="F1207" s="114" t="s">
        <v>142</v>
      </c>
      <c r="G1207" s="114" t="s">
        <v>374</v>
      </c>
      <c r="H1207" s="115">
        <v>44923</v>
      </c>
    </row>
    <row r="1208" spans="1:9">
      <c r="A1208" s="114" t="s">
        <v>115</v>
      </c>
      <c r="B1208" s="114">
        <v>3848</v>
      </c>
      <c r="C1208" s="114" t="s">
        <v>140</v>
      </c>
      <c r="D1208" s="115">
        <v>44923</v>
      </c>
      <c r="E1208" s="114">
        <v>48600</v>
      </c>
      <c r="F1208" s="114" t="s">
        <v>25</v>
      </c>
      <c r="G1208" s="114" t="s">
        <v>373</v>
      </c>
      <c r="H1208" s="115">
        <v>44923</v>
      </c>
      <c r="I1208" t="s">
        <v>375</v>
      </c>
    </row>
    <row r="1209" spans="1:9">
      <c r="A1209" s="114" t="s">
        <v>73</v>
      </c>
      <c r="B1209" s="114">
        <v>1919</v>
      </c>
      <c r="C1209" s="114" t="s">
        <v>140</v>
      </c>
      <c r="D1209" s="115">
        <v>44923</v>
      </c>
      <c r="E1209" s="114">
        <v>33000</v>
      </c>
      <c r="F1209" s="114" t="s">
        <v>25</v>
      </c>
      <c r="G1209" s="114" t="s">
        <v>373</v>
      </c>
      <c r="H1209" s="115">
        <v>44923</v>
      </c>
      <c r="I1209" t="s">
        <v>368</v>
      </c>
    </row>
    <row r="1210" spans="1:9">
      <c r="A1210" s="114" t="s">
        <v>115</v>
      </c>
      <c r="B1210" s="114">
        <v>3849</v>
      </c>
      <c r="C1210" s="160" t="s">
        <v>152</v>
      </c>
      <c r="D1210" s="115">
        <v>44923</v>
      </c>
      <c r="E1210" s="114">
        <v>3600</v>
      </c>
      <c r="F1210" s="114" t="s">
        <v>164</v>
      </c>
      <c r="G1210" s="159" t="s">
        <v>374</v>
      </c>
      <c r="H1210" s="115">
        <v>44923</v>
      </c>
    </row>
    <row r="1211" spans="1:9">
      <c r="A1211" s="114" t="s">
        <v>73</v>
      </c>
      <c r="B1211" s="114">
        <v>1920</v>
      </c>
      <c r="C1211" s="114" t="s">
        <v>87</v>
      </c>
      <c r="D1211" s="115">
        <v>44923</v>
      </c>
      <c r="E1211" s="114">
        <v>1100</v>
      </c>
      <c r="F1211" s="114" t="s">
        <v>91</v>
      </c>
      <c r="G1211" s="159" t="s">
        <v>374</v>
      </c>
      <c r="H1211" s="115">
        <v>44923</v>
      </c>
    </row>
    <row r="1212" spans="1:9">
      <c r="A1212" s="114" t="s">
        <v>115</v>
      </c>
      <c r="B1212" s="114">
        <v>3850</v>
      </c>
      <c r="C1212" s="114" t="s">
        <v>129</v>
      </c>
      <c r="D1212" s="115">
        <v>44923</v>
      </c>
      <c r="E1212" s="114">
        <v>500</v>
      </c>
      <c r="F1212" s="114" t="s">
        <v>142</v>
      </c>
      <c r="G1212" s="159" t="s">
        <v>374</v>
      </c>
      <c r="H1212" s="115">
        <v>44923</v>
      </c>
    </row>
    <row r="1213" spans="1:9">
      <c r="A1213" s="114" t="s">
        <v>73</v>
      </c>
      <c r="B1213" s="114">
        <v>1921</v>
      </c>
      <c r="C1213" s="114" t="s">
        <v>292</v>
      </c>
      <c r="D1213" s="115">
        <v>44923</v>
      </c>
      <c r="E1213" s="114">
        <v>2800</v>
      </c>
      <c r="F1213" s="114" t="s">
        <v>107</v>
      </c>
      <c r="G1213" s="159" t="s">
        <v>374</v>
      </c>
      <c r="H1213" s="115">
        <v>44923</v>
      </c>
    </row>
    <row r="1214" spans="1:9">
      <c r="A1214" s="114" t="s">
        <v>115</v>
      </c>
      <c r="B1214" s="114">
        <v>3851</v>
      </c>
      <c r="C1214" s="114" t="s">
        <v>132</v>
      </c>
      <c r="D1214" s="115">
        <v>44923</v>
      </c>
      <c r="E1214" s="114">
        <v>3900</v>
      </c>
      <c r="F1214" s="114" t="s">
        <v>135</v>
      </c>
      <c r="G1214" s="159" t="s">
        <v>374</v>
      </c>
      <c r="H1214" s="115">
        <v>44923</v>
      </c>
    </row>
    <row r="1215" spans="1:9">
      <c r="A1215" s="114" t="s">
        <v>115</v>
      </c>
      <c r="B1215" s="114">
        <v>3852</v>
      </c>
      <c r="C1215" s="114" t="s">
        <v>141</v>
      </c>
      <c r="D1215" s="115">
        <v>44923</v>
      </c>
      <c r="E1215" s="114">
        <v>2000</v>
      </c>
      <c r="F1215" s="114" t="s">
        <v>142</v>
      </c>
      <c r="G1215" s="159" t="s">
        <v>374</v>
      </c>
      <c r="H1215" s="115">
        <v>44923</v>
      </c>
    </row>
    <row r="1216" spans="1:9">
      <c r="A1216" s="114" t="s">
        <v>73</v>
      </c>
      <c r="B1216" s="114">
        <v>1922</v>
      </c>
      <c r="C1216" s="114" t="s">
        <v>321</v>
      </c>
      <c r="D1216" s="115">
        <v>44923</v>
      </c>
      <c r="E1216" s="114">
        <v>2000</v>
      </c>
      <c r="F1216" s="114" t="s">
        <v>8</v>
      </c>
      <c r="G1216" s="159" t="s">
        <v>374</v>
      </c>
      <c r="H1216" s="115">
        <v>44923</v>
      </c>
    </row>
    <row r="1217" spans="1:10">
      <c r="A1217" s="114" t="s">
        <v>73</v>
      </c>
      <c r="B1217" s="114">
        <v>1923</v>
      </c>
      <c r="C1217" s="87" t="s">
        <v>207</v>
      </c>
      <c r="D1217" s="115">
        <v>44923</v>
      </c>
      <c r="E1217" s="114">
        <v>9000</v>
      </c>
      <c r="F1217" s="87" t="s">
        <v>93</v>
      </c>
      <c r="G1217" s="159" t="s">
        <v>374</v>
      </c>
      <c r="H1217" s="115">
        <v>44923</v>
      </c>
    </row>
    <row r="1218" spans="1:10">
      <c r="A1218" s="114" t="s">
        <v>73</v>
      </c>
      <c r="B1218" s="114">
        <v>1924</v>
      </c>
      <c r="C1218" s="114" t="s">
        <v>81</v>
      </c>
      <c r="D1218" s="115">
        <v>44923</v>
      </c>
      <c r="E1218" s="114">
        <v>1800</v>
      </c>
      <c r="F1218" s="114" t="s">
        <v>92</v>
      </c>
      <c r="G1218" s="159" t="s">
        <v>374</v>
      </c>
      <c r="H1218" s="115">
        <v>44923</v>
      </c>
    </row>
    <row r="1219" spans="1:10">
      <c r="A1219" s="114" t="s">
        <v>115</v>
      </c>
      <c r="B1219" s="114">
        <v>3853</v>
      </c>
      <c r="C1219" s="114" t="s">
        <v>137</v>
      </c>
      <c r="D1219" s="115">
        <v>44923</v>
      </c>
      <c r="E1219" s="114">
        <v>4200</v>
      </c>
      <c r="F1219" s="114" t="s">
        <v>376</v>
      </c>
      <c r="G1219" s="159" t="s">
        <v>374</v>
      </c>
      <c r="H1219" s="115">
        <v>44923</v>
      </c>
    </row>
    <row r="1220" spans="1:10">
      <c r="A1220" s="114" t="s">
        <v>115</v>
      </c>
      <c r="B1220" s="114">
        <v>3854</v>
      </c>
      <c r="C1220" s="114" t="s">
        <v>149</v>
      </c>
      <c r="D1220" s="115">
        <v>44923</v>
      </c>
      <c r="E1220" s="114">
        <v>1500</v>
      </c>
      <c r="F1220" s="114" t="s">
        <v>8</v>
      </c>
      <c r="G1220" s="159" t="s">
        <v>374</v>
      </c>
      <c r="H1220" s="115">
        <v>44923</v>
      </c>
    </row>
    <row r="1221" spans="1:10">
      <c r="A1221" s="114" t="s">
        <v>73</v>
      </c>
      <c r="B1221" s="114">
        <v>1925</v>
      </c>
      <c r="C1221" s="114" t="s">
        <v>99</v>
      </c>
      <c r="D1221" s="115">
        <v>44923</v>
      </c>
      <c r="E1221" s="114">
        <v>3600</v>
      </c>
      <c r="F1221" s="114" t="s">
        <v>112</v>
      </c>
      <c r="G1221" s="159" t="s">
        <v>374</v>
      </c>
      <c r="H1221" s="115">
        <v>44923</v>
      </c>
    </row>
    <row r="1222" spans="1:10">
      <c r="A1222" s="114" t="s">
        <v>73</v>
      </c>
      <c r="B1222" s="114">
        <v>1926</v>
      </c>
      <c r="C1222" s="114" t="s">
        <v>80</v>
      </c>
      <c r="D1222" s="115">
        <v>44924</v>
      </c>
      <c r="E1222" s="114">
        <v>1600</v>
      </c>
      <c r="F1222" s="114" t="s">
        <v>112</v>
      </c>
      <c r="G1222" s="159" t="s">
        <v>374</v>
      </c>
      <c r="H1222" s="115">
        <v>44924</v>
      </c>
    </row>
    <row r="1223" spans="1:10">
      <c r="A1223" s="114" t="s">
        <v>73</v>
      </c>
      <c r="B1223" s="114">
        <v>1927</v>
      </c>
      <c r="C1223" s="114" t="s">
        <v>77</v>
      </c>
      <c r="D1223" s="115">
        <v>44924</v>
      </c>
      <c r="E1223" s="114">
        <v>2500</v>
      </c>
      <c r="F1223" s="114" t="s">
        <v>91</v>
      </c>
      <c r="G1223" s="114" t="s">
        <v>373</v>
      </c>
      <c r="H1223" s="115">
        <v>44924</v>
      </c>
    </row>
    <row r="1224" spans="1:10">
      <c r="A1224" s="114" t="s">
        <v>73</v>
      </c>
      <c r="B1224" s="114">
        <v>1928</v>
      </c>
      <c r="C1224" s="114" t="s">
        <v>86</v>
      </c>
      <c r="D1224" s="115">
        <v>44924</v>
      </c>
      <c r="E1224" s="114">
        <v>4800</v>
      </c>
      <c r="F1224" s="114" t="s">
        <v>8</v>
      </c>
      <c r="G1224" s="114" t="s">
        <v>373</v>
      </c>
      <c r="H1224" s="115">
        <v>44924</v>
      </c>
    </row>
    <row r="1225" spans="1:10">
      <c r="A1225" s="114" t="s">
        <v>73</v>
      </c>
      <c r="B1225" s="114">
        <v>1929</v>
      </c>
      <c r="C1225" s="114" t="s">
        <v>96</v>
      </c>
      <c r="D1225" s="115">
        <v>44924</v>
      </c>
      <c r="E1225" s="114">
        <v>3600</v>
      </c>
      <c r="F1225" s="114" t="s">
        <v>112</v>
      </c>
      <c r="G1225" s="159" t="s">
        <v>374</v>
      </c>
      <c r="H1225" s="115">
        <v>44924</v>
      </c>
    </row>
    <row r="1226" spans="1:10">
      <c r="A1226" s="114" t="s">
        <v>115</v>
      </c>
      <c r="B1226" s="114">
        <v>3855</v>
      </c>
      <c r="C1226" s="114" t="s">
        <v>148</v>
      </c>
      <c r="D1226" s="115">
        <v>44924</v>
      </c>
      <c r="E1226" s="114">
        <v>4200</v>
      </c>
      <c r="F1226" s="114" t="s">
        <v>166</v>
      </c>
      <c r="G1226" s="159" t="s">
        <v>374</v>
      </c>
      <c r="H1226" s="115">
        <v>44924</v>
      </c>
    </row>
    <row r="1227" spans="1:10">
      <c r="A1227" s="114" t="s">
        <v>115</v>
      </c>
      <c r="B1227" s="114">
        <v>3856</v>
      </c>
      <c r="C1227" s="114" t="s">
        <v>138</v>
      </c>
      <c r="D1227" s="115">
        <v>44924</v>
      </c>
      <c r="E1227" s="114">
        <v>2800</v>
      </c>
      <c r="F1227" s="114" t="s">
        <v>135</v>
      </c>
      <c r="G1227" s="159" t="s">
        <v>374</v>
      </c>
      <c r="H1227" s="115">
        <v>44924</v>
      </c>
    </row>
    <row r="1228" spans="1:10">
      <c r="A1228" s="114" t="s">
        <v>73</v>
      </c>
      <c r="B1228" s="114">
        <v>1930</v>
      </c>
      <c r="C1228" s="114" t="s">
        <v>340</v>
      </c>
      <c r="D1228" s="115">
        <v>44924</v>
      </c>
      <c r="E1228" s="114">
        <v>1500</v>
      </c>
      <c r="F1228" s="114" t="s">
        <v>8</v>
      </c>
      <c r="G1228" s="159" t="s">
        <v>374</v>
      </c>
      <c r="H1228" s="115">
        <v>44924</v>
      </c>
      <c r="J1228" t="s">
        <v>58</v>
      </c>
    </row>
    <row r="1229" spans="1:10">
      <c r="A1229" s="114" t="s">
        <v>73</v>
      </c>
      <c r="B1229" s="114">
        <v>1931</v>
      </c>
      <c r="C1229" s="114" t="s">
        <v>79</v>
      </c>
      <c r="D1229" s="115">
        <v>44924</v>
      </c>
      <c r="E1229" s="114">
        <v>1600</v>
      </c>
      <c r="F1229" s="114" t="s">
        <v>3</v>
      </c>
      <c r="G1229" s="159" t="s">
        <v>374</v>
      </c>
      <c r="H1229" s="115">
        <v>44924</v>
      </c>
    </row>
    <row r="1230" spans="1:10">
      <c r="A1230" s="114" t="s">
        <v>73</v>
      </c>
      <c r="B1230" s="114">
        <v>1932</v>
      </c>
      <c r="C1230" s="114" t="s">
        <v>106</v>
      </c>
      <c r="D1230" s="115">
        <v>44924</v>
      </c>
      <c r="E1230" s="114">
        <v>2800</v>
      </c>
      <c r="F1230" s="114" t="s">
        <v>107</v>
      </c>
      <c r="G1230" s="159" t="s">
        <v>374</v>
      </c>
      <c r="H1230" s="115">
        <v>44924</v>
      </c>
    </row>
    <row r="1231" spans="1:10">
      <c r="A1231" s="114" t="s">
        <v>115</v>
      </c>
      <c r="B1231" s="114">
        <v>3857</v>
      </c>
      <c r="C1231" s="114" t="s">
        <v>237</v>
      </c>
      <c r="D1231" s="115">
        <v>44924</v>
      </c>
      <c r="E1231" s="114">
        <v>8500</v>
      </c>
      <c r="F1231" s="114" t="s">
        <v>238</v>
      </c>
      <c r="G1231" s="159" t="s">
        <v>374</v>
      </c>
      <c r="H1231" s="115">
        <v>44924</v>
      </c>
    </row>
    <row r="1232" spans="1:10">
      <c r="A1232" s="114" t="s">
        <v>115</v>
      </c>
      <c r="B1232" s="114">
        <v>3858</v>
      </c>
      <c r="C1232" s="114" t="s">
        <v>146</v>
      </c>
      <c r="D1232" s="115">
        <v>44924</v>
      </c>
      <c r="E1232" s="114">
        <v>2000</v>
      </c>
      <c r="F1232" s="114" t="s">
        <v>8</v>
      </c>
      <c r="G1232" s="159" t="s">
        <v>374</v>
      </c>
      <c r="H1232" s="115">
        <v>44924</v>
      </c>
    </row>
    <row r="1233" spans="1:8">
      <c r="A1233" s="114" t="s">
        <v>115</v>
      </c>
      <c r="B1233" s="114">
        <v>3859</v>
      </c>
      <c r="C1233" s="114" t="s">
        <v>315</v>
      </c>
      <c r="D1233" s="115">
        <v>44924</v>
      </c>
      <c r="E1233" s="114">
        <v>3000</v>
      </c>
      <c r="F1233" s="114" t="s">
        <v>157</v>
      </c>
      <c r="G1233" s="159" t="s">
        <v>374</v>
      </c>
      <c r="H1233" s="115">
        <v>44924</v>
      </c>
    </row>
    <row r="1234" spans="1:8">
      <c r="A1234" s="114" t="s">
        <v>73</v>
      </c>
      <c r="B1234" s="114">
        <v>1933</v>
      </c>
      <c r="C1234" s="114" t="s">
        <v>101</v>
      </c>
      <c r="D1234" s="115">
        <v>44924</v>
      </c>
      <c r="E1234" s="114">
        <v>4800</v>
      </c>
      <c r="F1234" s="114" t="s">
        <v>8</v>
      </c>
      <c r="G1234" s="159" t="s">
        <v>373</v>
      </c>
      <c r="H1234" s="115">
        <v>44924</v>
      </c>
    </row>
    <row r="1235" spans="1:8">
      <c r="A1235" s="114" t="s">
        <v>115</v>
      </c>
      <c r="B1235" s="114">
        <v>3860</v>
      </c>
      <c r="C1235" s="114" t="s">
        <v>344</v>
      </c>
      <c r="D1235" s="115">
        <v>44924</v>
      </c>
      <c r="E1235" s="114">
        <v>3500</v>
      </c>
      <c r="F1235" s="114" t="s">
        <v>8</v>
      </c>
      <c r="G1235" s="159" t="s">
        <v>374</v>
      </c>
      <c r="H1235" s="115">
        <v>44924</v>
      </c>
    </row>
    <row r="1236" spans="1:8">
      <c r="A1236" s="114" t="s">
        <v>73</v>
      </c>
      <c r="B1236" s="114">
        <v>1934</v>
      </c>
      <c r="C1236" s="114" t="s">
        <v>110</v>
      </c>
      <c r="D1236" s="115">
        <v>44924</v>
      </c>
      <c r="E1236" s="114">
        <v>2800</v>
      </c>
      <c r="F1236" s="114" t="s">
        <v>107</v>
      </c>
      <c r="G1236" s="159" t="s">
        <v>374</v>
      </c>
      <c r="H1236" s="115">
        <v>44924</v>
      </c>
    </row>
    <row r="1237" spans="1:8">
      <c r="A1237" s="114" t="s">
        <v>115</v>
      </c>
      <c r="B1237" s="114">
        <v>3861</v>
      </c>
      <c r="C1237" s="114" t="s">
        <v>289</v>
      </c>
      <c r="D1237" s="115">
        <v>44924</v>
      </c>
      <c r="E1237" s="114">
        <v>2300</v>
      </c>
      <c r="F1237" s="114" t="s">
        <v>290</v>
      </c>
      <c r="G1237" s="159" t="s">
        <v>374</v>
      </c>
      <c r="H1237" s="115">
        <v>44924</v>
      </c>
    </row>
    <row r="1238" spans="1:8">
      <c r="A1238" s="114" t="s">
        <v>73</v>
      </c>
      <c r="B1238" s="114">
        <v>1935</v>
      </c>
      <c r="C1238" t="s">
        <v>356</v>
      </c>
      <c r="D1238" s="115">
        <v>44924</v>
      </c>
      <c r="E1238">
        <v>6000</v>
      </c>
      <c r="F1238" t="s">
        <v>357</v>
      </c>
      <c r="G1238" s="159" t="s">
        <v>374</v>
      </c>
      <c r="H1238" s="115">
        <v>44924</v>
      </c>
    </row>
    <row r="1239" spans="1:8">
      <c r="A1239" s="114" t="s">
        <v>115</v>
      </c>
      <c r="B1239" s="114">
        <v>3862</v>
      </c>
      <c r="C1239" s="114" t="s">
        <v>127</v>
      </c>
      <c r="D1239" s="115">
        <v>44924</v>
      </c>
      <c r="E1239" s="114">
        <v>5600</v>
      </c>
      <c r="F1239" s="114" t="s">
        <v>157</v>
      </c>
      <c r="G1239" s="159" t="s">
        <v>374</v>
      </c>
      <c r="H1239" s="115">
        <v>44924</v>
      </c>
    </row>
    <row r="1240" spans="1:8">
      <c r="A1240" s="114" t="s">
        <v>115</v>
      </c>
      <c r="B1240" s="114">
        <v>3863</v>
      </c>
      <c r="C1240" s="114" t="s">
        <v>170</v>
      </c>
      <c r="D1240" s="115">
        <v>44953</v>
      </c>
      <c r="E1240" s="114">
        <v>3300</v>
      </c>
      <c r="F1240" s="114" t="s">
        <v>161</v>
      </c>
      <c r="G1240" s="159" t="s">
        <v>377</v>
      </c>
      <c r="H1240" s="115">
        <v>44952</v>
      </c>
    </row>
    <row r="1241" spans="1:8">
      <c r="A1241" s="114" t="s">
        <v>73</v>
      </c>
      <c r="B1241" s="114">
        <v>1936</v>
      </c>
      <c r="C1241" s="114" t="s">
        <v>275</v>
      </c>
      <c r="D1241" s="115">
        <v>44953</v>
      </c>
      <c r="E1241" s="114">
        <v>5200</v>
      </c>
      <c r="F1241" s="114" t="s">
        <v>89</v>
      </c>
      <c r="G1241" s="159" t="s">
        <v>377</v>
      </c>
      <c r="H1241" s="115">
        <v>44952</v>
      </c>
    </row>
    <row r="1242" spans="1:8">
      <c r="A1242" s="114" t="s">
        <v>115</v>
      </c>
      <c r="B1242" s="114">
        <v>3864</v>
      </c>
      <c r="C1242" s="114" t="s">
        <v>131</v>
      </c>
      <c r="D1242" s="115">
        <v>44953</v>
      </c>
      <c r="E1242" s="114">
        <v>1100</v>
      </c>
      <c r="F1242" s="114" t="s">
        <v>142</v>
      </c>
      <c r="G1242" s="159" t="s">
        <v>377</v>
      </c>
      <c r="H1242" s="115">
        <v>44952</v>
      </c>
    </row>
    <row r="1243" spans="1:8">
      <c r="A1243" s="114" t="s">
        <v>115</v>
      </c>
      <c r="B1243" s="114">
        <v>3865</v>
      </c>
      <c r="C1243" s="114" t="s">
        <v>128</v>
      </c>
      <c r="D1243" s="115">
        <v>44953</v>
      </c>
      <c r="E1243" s="114">
        <f>10200+1000</f>
        <v>11200</v>
      </c>
      <c r="F1243" s="114" t="s">
        <v>142</v>
      </c>
      <c r="G1243" s="159" t="s">
        <v>377</v>
      </c>
      <c r="H1243" s="115">
        <v>44952</v>
      </c>
    </row>
    <row r="1244" spans="1:8">
      <c r="A1244" s="114" t="s">
        <v>115</v>
      </c>
      <c r="B1244" s="114">
        <v>3866</v>
      </c>
      <c r="C1244" s="114" t="s">
        <v>134</v>
      </c>
      <c r="D1244" s="115">
        <v>44953</v>
      </c>
      <c r="E1244" s="114">
        <v>3200</v>
      </c>
      <c r="F1244" s="114" t="s">
        <v>135</v>
      </c>
      <c r="G1244" s="159" t="s">
        <v>377</v>
      </c>
      <c r="H1244" s="115">
        <v>44952</v>
      </c>
    </row>
    <row r="1245" spans="1:8">
      <c r="A1245" s="114" t="s">
        <v>73</v>
      </c>
      <c r="B1245" s="114">
        <v>1937</v>
      </c>
      <c r="C1245" s="114" t="s">
        <v>109</v>
      </c>
      <c r="D1245" s="115">
        <v>44953</v>
      </c>
      <c r="E1245" s="114">
        <v>2800</v>
      </c>
      <c r="F1245" s="114" t="s">
        <v>91</v>
      </c>
      <c r="G1245" s="159" t="s">
        <v>377</v>
      </c>
      <c r="H1245" s="115">
        <v>44952</v>
      </c>
    </row>
    <row r="1246" spans="1:8">
      <c r="A1246" s="114" t="s">
        <v>115</v>
      </c>
      <c r="B1246" s="114">
        <v>3867</v>
      </c>
      <c r="C1246" s="114" t="s">
        <v>147</v>
      </c>
      <c r="D1246" s="115">
        <v>44953</v>
      </c>
      <c r="E1246" s="114">
        <v>5600</v>
      </c>
      <c r="F1246" s="114" t="s">
        <v>89</v>
      </c>
      <c r="G1246" s="159" t="s">
        <v>377</v>
      </c>
      <c r="H1246" s="115">
        <v>44952</v>
      </c>
    </row>
    <row r="1247" spans="1:8">
      <c r="A1247" s="114" t="s">
        <v>115</v>
      </c>
      <c r="B1247" s="114">
        <v>3868</v>
      </c>
      <c r="C1247" s="114" t="s">
        <v>130</v>
      </c>
      <c r="D1247" s="115">
        <v>44953</v>
      </c>
      <c r="E1247" s="114">
        <v>1500</v>
      </c>
      <c r="F1247" s="114" t="s">
        <v>142</v>
      </c>
      <c r="G1247" s="159" t="s">
        <v>377</v>
      </c>
      <c r="H1247" s="115">
        <v>44953</v>
      </c>
    </row>
    <row r="1248" spans="1:8">
      <c r="A1248" s="114" t="s">
        <v>115</v>
      </c>
      <c r="B1248" s="114">
        <v>3869</v>
      </c>
      <c r="C1248" s="160" t="s">
        <v>152</v>
      </c>
      <c r="D1248" s="115">
        <v>44953</v>
      </c>
      <c r="E1248" s="114">
        <v>3600</v>
      </c>
      <c r="F1248" s="114" t="s">
        <v>164</v>
      </c>
      <c r="G1248" s="159" t="s">
        <v>377</v>
      </c>
      <c r="H1248" s="115">
        <v>44953</v>
      </c>
    </row>
    <row r="1249" spans="1:8">
      <c r="A1249" s="114" t="s">
        <v>73</v>
      </c>
      <c r="B1249" s="114">
        <v>1938</v>
      </c>
      <c r="C1249" s="114" t="s">
        <v>87</v>
      </c>
      <c r="D1249" s="115">
        <v>44953</v>
      </c>
      <c r="E1249" s="114">
        <v>1100</v>
      </c>
      <c r="F1249" s="114" t="s">
        <v>91</v>
      </c>
      <c r="G1249" s="159" t="s">
        <v>377</v>
      </c>
      <c r="H1249" s="115">
        <v>44953</v>
      </c>
    </row>
    <row r="1250" spans="1:8">
      <c r="A1250" s="114" t="s">
        <v>115</v>
      </c>
      <c r="B1250" s="114">
        <v>3870</v>
      </c>
      <c r="C1250" s="114" t="s">
        <v>129</v>
      </c>
      <c r="D1250" s="115">
        <v>44953</v>
      </c>
      <c r="E1250" s="114">
        <v>500</v>
      </c>
      <c r="F1250" s="114" t="s">
        <v>142</v>
      </c>
      <c r="G1250" s="159" t="s">
        <v>377</v>
      </c>
      <c r="H1250" s="115">
        <v>44953</v>
      </c>
    </row>
    <row r="1251" spans="1:8">
      <c r="A1251" s="114" t="s">
        <v>73</v>
      </c>
      <c r="B1251" s="114">
        <v>1939</v>
      </c>
      <c r="C1251" s="114" t="s">
        <v>292</v>
      </c>
      <c r="D1251" s="115">
        <v>44953</v>
      </c>
      <c r="E1251" s="114">
        <v>2800</v>
      </c>
      <c r="F1251" s="114" t="s">
        <v>107</v>
      </c>
      <c r="G1251" s="159" t="s">
        <v>377</v>
      </c>
      <c r="H1251" s="115">
        <v>44953</v>
      </c>
    </row>
    <row r="1252" spans="1:8">
      <c r="A1252" s="114" t="s">
        <v>115</v>
      </c>
      <c r="B1252" s="114">
        <v>3871</v>
      </c>
      <c r="C1252" s="114" t="s">
        <v>132</v>
      </c>
      <c r="D1252" s="115">
        <v>44953</v>
      </c>
      <c r="E1252" s="114">
        <v>3900</v>
      </c>
      <c r="F1252" s="114" t="s">
        <v>135</v>
      </c>
      <c r="G1252" s="159" t="s">
        <v>377</v>
      </c>
      <c r="H1252" s="115">
        <v>44953</v>
      </c>
    </row>
    <row r="1253" spans="1:8">
      <c r="A1253" s="114" t="s">
        <v>73</v>
      </c>
      <c r="B1253" s="114">
        <v>1946</v>
      </c>
      <c r="C1253" s="114" t="s">
        <v>378</v>
      </c>
      <c r="D1253" s="115">
        <v>44953</v>
      </c>
      <c r="E1253" s="114">
        <v>2500</v>
      </c>
      <c r="F1253" s="114" t="s">
        <v>8</v>
      </c>
      <c r="G1253" s="159" t="s">
        <v>377</v>
      </c>
      <c r="H1253" s="115">
        <v>44953</v>
      </c>
    </row>
    <row r="1254" spans="1:8">
      <c r="A1254" s="114" t="s">
        <v>115</v>
      </c>
      <c r="B1254" s="114">
        <v>3872</v>
      </c>
      <c r="C1254" s="114" t="s">
        <v>141</v>
      </c>
      <c r="D1254" s="115">
        <v>44954</v>
      </c>
      <c r="E1254" s="114">
        <v>2000</v>
      </c>
      <c r="F1254" s="114" t="s">
        <v>142</v>
      </c>
      <c r="G1254" s="159" t="s">
        <v>377</v>
      </c>
      <c r="H1254" s="115">
        <v>44953</v>
      </c>
    </row>
    <row r="1255" spans="1:8">
      <c r="A1255" s="114" t="s">
        <v>73</v>
      </c>
      <c r="B1255" s="114">
        <v>1940</v>
      </c>
      <c r="C1255" s="114" t="s">
        <v>321</v>
      </c>
      <c r="D1255" s="115">
        <v>44954</v>
      </c>
      <c r="E1255" s="114">
        <v>2000</v>
      </c>
      <c r="F1255" s="114" t="s">
        <v>8</v>
      </c>
      <c r="G1255" s="159" t="s">
        <v>377</v>
      </c>
      <c r="H1255" s="115">
        <v>44953</v>
      </c>
    </row>
    <row r="1256" spans="1:8">
      <c r="A1256" s="114" t="s">
        <v>73</v>
      </c>
      <c r="B1256" s="114">
        <v>1941</v>
      </c>
      <c r="C1256" s="87" t="s">
        <v>207</v>
      </c>
      <c r="D1256" s="115">
        <v>44954</v>
      </c>
      <c r="E1256" s="114">
        <v>9000</v>
      </c>
      <c r="F1256" s="87" t="s">
        <v>93</v>
      </c>
      <c r="G1256" s="159" t="s">
        <v>377</v>
      </c>
      <c r="H1256" s="115">
        <v>44953</v>
      </c>
    </row>
    <row r="1257" spans="1:8">
      <c r="A1257" s="114" t="s">
        <v>73</v>
      </c>
      <c r="B1257" s="114">
        <v>1942</v>
      </c>
      <c r="C1257" s="114" t="s">
        <v>81</v>
      </c>
      <c r="D1257" s="115">
        <v>44954</v>
      </c>
      <c r="E1257" s="114">
        <v>1800</v>
      </c>
      <c r="F1257" s="114" t="s">
        <v>92</v>
      </c>
      <c r="G1257" s="159" t="s">
        <v>377</v>
      </c>
      <c r="H1257" s="115">
        <v>44954</v>
      </c>
    </row>
    <row r="1258" spans="1:8">
      <c r="A1258" s="114" t="s">
        <v>115</v>
      </c>
      <c r="B1258" s="114">
        <v>3873</v>
      </c>
      <c r="C1258" s="114" t="s">
        <v>137</v>
      </c>
      <c r="D1258" s="115">
        <v>44954</v>
      </c>
      <c r="E1258" s="114">
        <v>4200</v>
      </c>
      <c r="F1258" s="114" t="s">
        <v>376</v>
      </c>
      <c r="G1258" s="159" t="s">
        <v>377</v>
      </c>
      <c r="H1258" s="115">
        <v>44954</v>
      </c>
    </row>
    <row r="1259" spans="1:8">
      <c r="A1259" s="114" t="s">
        <v>115</v>
      </c>
      <c r="B1259" s="114">
        <v>3874</v>
      </c>
      <c r="C1259" s="114" t="s">
        <v>149</v>
      </c>
      <c r="D1259" s="115">
        <v>44954</v>
      </c>
      <c r="E1259" s="114">
        <v>1500</v>
      </c>
      <c r="F1259" s="114" t="s">
        <v>8</v>
      </c>
      <c r="G1259" s="159" t="s">
        <v>377</v>
      </c>
      <c r="H1259" s="115">
        <v>44954</v>
      </c>
    </row>
    <row r="1260" spans="1:8">
      <c r="A1260" s="114" t="s">
        <v>73</v>
      </c>
      <c r="B1260" s="114">
        <v>1943</v>
      </c>
      <c r="C1260" s="114" t="s">
        <v>99</v>
      </c>
      <c r="D1260" s="115">
        <v>44954</v>
      </c>
      <c r="E1260" s="114">
        <v>3600</v>
      </c>
      <c r="F1260" s="114" t="s">
        <v>112</v>
      </c>
      <c r="G1260" s="159" t="s">
        <v>377</v>
      </c>
      <c r="H1260" s="115">
        <v>44954</v>
      </c>
    </row>
    <row r="1261" spans="1:8">
      <c r="A1261" s="114" t="s">
        <v>73</v>
      </c>
      <c r="B1261" s="114">
        <v>1944</v>
      </c>
      <c r="C1261" s="114" t="s">
        <v>80</v>
      </c>
      <c r="D1261" s="115">
        <v>44954</v>
      </c>
      <c r="E1261" s="114">
        <v>1600</v>
      </c>
      <c r="F1261" s="114" t="s">
        <v>112</v>
      </c>
      <c r="G1261" s="159" t="s">
        <v>377</v>
      </c>
      <c r="H1261" s="115">
        <v>44954</v>
      </c>
    </row>
    <row r="1262" spans="1:8">
      <c r="A1262" s="114" t="s">
        <v>73</v>
      </c>
      <c r="B1262" s="114">
        <v>1945</v>
      </c>
      <c r="C1262" s="114" t="s">
        <v>96</v>
      </c>
      <c r="D1262" s="115">
        <v>44955</v>
      </c>
      <c r="E1262" s="114">
        <v>3600</v>
      </c>
      <c r="F1262" s="114" t="s">
        <v>112</v>
      </c>
      <c r="G1262" s="159" t="s">
        <v>377</v>
      </c>
      <c r="H1262" s="115">
        <v>44955</v>
      </c>
    </row>
    <row r="1263" spans="1:8">
      <c r="A1263" s="114" t="s">
        <v>115</v>
      </c>
      <c r="B1263" s="114">
        <v>3875</v>
      </c>
      <c r="C1263" s="114" t="s">
        <v>148</v>
      </c>
      <c r="D1263" s="115">
        <v>44955</v>
      </c>
      <c r="E1263" s="114">
        <v>4200</v>
      </c>
      <c r="F1263" s="114" t="s">
        <v>166</v>
      </c>
      <c r="G1263" s="159" t="s">
        <v>377</v>
      </c>
      <c r="H1263" s="115">
        <v>44955</v>
      </c>
    </row>
    <row r="1264" spans="1:8">
      <c r="A1264" s="114" t="s">
        <v>115</v>
      </c>
      <c r="B1264" s="114">
        <v>3876</v>
      </c>
      <c r="C1264" s="114" t="s">
        <v>138</v>
      </c>
      <c r="D1264" s="115">
        <v>44955</v>
      </c>
      <c r="E1264" s="114">
        <v>2800</v>
      </c>
      <c r="F1264" s="114" t="s">
        <v>135</v>
      </c>
      <c r="G1264" s="159" t="s">
        <v>377</v>
      </c>
      <c r="H1264" s="115">
        <v>44955</v>
      </c>
    </row>
    <row r="1265" spans="1:10">
      <c r="A1265" s="114" t="s">
        <v>73</v>
      </c>
      <c r="B1265" s="114">
        <v>1947</v>
      </c>
      <c r="C1265" s="114" t="s">
        <v>340</v>
      </c>
      <c r="D1265" s="115">
        <v>44955</v>
      </c>
      <c r="E1265" s="114">
        <v>1500</v>
      </c>
      <c r="F1265" s="114" t="s">
        <v>8</v>
      </c>
      <c r="G1265" s="159" t="s">
        <v>377</v>
      </c>
      <c r="H1265" s="115">
        <v>44955</v>
      </c>
      <c r="J1265" t="s">
        <v>58</v>
      </c>
    </row>
    <row r="1266" spans="1:10">
      <c r="A1266" s="114" t="s">
        <v>73</v>
      </c>
      <c r="B1266" s="114">
        <v>1948</v>
      </c>
      <c r="C1266" s="114" t="s">
        <v>79</v>
      </c>
      <c r="D1266" s="115">
        <v>44956</v>
      </c>
      <c r="E1266" s="114">
        <v>1600</v>
      </c>
      <c r="F1266" s="114" t="s">
        <v>3</v>
      </c>
      <c r="G1266" s="159" t="s">
        <v>377</v>
      </c>
      <c r="H1266" s="115">
        <v>44956</v>
      </c>
    </row>
    <row r="1267" spans="1:10">
      <c r="A1267" s="114" t="s">
        <v>73</v>
      </c>
      <c r="B1267" s="114">
        <v>1949</v>
      </c>
      <c r="C1267" s="114" t="s">
        <v>106</v>
      </c>
      <c r="D1267" s="115">
        <v>44956</v>
      </c>
      <c r="E1267" s="114">
        <v>2800</v>
      </c>
      <c r="F1267" s="114" t="s">
        <v>107</v>
      </c>
      <c r="G1267" s="159" t="s">
        <v>377</v>
      </c>
      <c r="H1267" s="115">
        <v>44956</v>
      </c>
    </row>
    <row r="1268" spans="1:10">
      <c r="A1268" s="114" t="s">
        <v>115</v>
      </c>
      <c r="B1268" s="114">
        <v>3877</v>
      </c>
      <c r="C1268" s="114" t="s">
        <v>237</v>
      </c>
      <c r="D1268" s="115">
        <v>44956</v>
      </c>
      <c r="E1268" s="114">
        <v>8500</v>
      </c>
      <c r="F1268" s="114" t="s">
        <v>238</v>
      </c>
      <c r="G1268" s="159" t="s">
        <v>377</v>
      </c>
      <c r="H1268" s="115">
        <v>44956</v>
      </c>
    </row>
    <row r="1269" spans="1:10">
      <c r="A1269" s="114" t="s">
        <v>115</v>
      </c>
      <c r="B1269" s="114">
        <v>3878</v>
      </c>
      <c r="C1269" s="114" t="s">
        <v>146</v>
      </c>
      <c r="D1269" s="115">
        <v>44956</v>
      </c>
      <c r="E1269" s="114">
        <v>2000</v>
      </c>
      <c r="F1269" s="114" t="s">
        <v>8</v>
      </c>
      <c r="G1269" s="159" t="s">
        <v>377</v>
      </c>
      <c r="H1269" s="115">
        <v>44956</v>
      </c>
    </row>
    <row r="1270" spans="1:10">
      <c r="A1270" s="114" t="s">
        <v>115</v>
      </c>
      <c r="B1270" s="114">
        <v>3879</v>
      </c>
      <c r="C1270" s="114" t="s">
        <v>315</v>
      </c>
      <c r="D1270" s="115">
        <v>44956</v>
      </c>
      <c r="E1270" s="114">
        <v>3000</v>
      </c>
      <c r="F1270" s="114" t="s">
        <v>157</v>
      </c>
      <c r="G1270" s="159" t="s">
        <v>377</v>
      </c>
      <c r="H1270" s="115">
        <v>44956</v>
      </c>
    </row>
    <row r="1271" spans="1:10">
      <c r="A1271" s="114" t="s">
        <v>115</v>
      </c>
      <c r="B1271" s="114">
        <v>3880</v>
      </c>
      <c r="C1271" s="114" t="s">
        <v>344</v>
      </c>
      <c r="D1271" s="115">
        <v>44956</v>
      </c>
      <c r="E1271" s="114">
        <v>3500</v>
      </c>
      <c r="F1271" s="114" t="s">
        <v>8</v>
      </c>
      <c r="G1271" s="159" t="s">
        <v>377</v>
      </c>
      <c r="H1271" s="115">
        <v>44956</v>
      </c>
    </row>
    <row r="1272" spans="1:10">
      <c r="A1272" s="114" t="s">
        <v>73</v>
      </c>
      <c r="B1272" s="114">
        <v>1950</v>
      </c>
      <c r="C1272" s="114" t="s">
        <v>110</v>
      </c>
      <c r="D1272" s="115">
        <v>44956</v>
      </c>
      <c r="E1272" s="114">
        <v>2800</v>
      </c>
      <c r="F1272" s="114" t="s">
        <v>107</v>
      </c>
      <c r="G1272" s="159" t="s">
        <v>377</v>
      </c>
      <c r="H1272" s="115">
        <v>44956</v>
      </c>
    </row>
    <row r="1273" spans="1:10">
      <c r="A1273" s="114" t="s">
        <v>115</v>
      </c>
      <c r="B1273" s="114">
        <v>3881</v>
      </c>
      <c r="C1273" s="114" t="s">
        <v>289</v>
      </c>
      <c r="D1273" s="115">
        <v>44956</v>
      </c>
      <c r="E1273" s="114">
        <v>2300</v>
      </c>
      <c r="F1273" s="114" t="s">
        <v>290</v>
      </c>
      <c r="G1273" s="159" t="s">
        <v>377</v>
      </c>
      <c r="H1273" s="115">
        <v>44956</v>
      </c>
    </row>
    <row r="1274" spans="1:10">
      <c r="A1274" s="114" t="s">
        <v>73</v>
      </c>
      <c r="B1274" s="114">
        <v>1951</v>
      </c>
      <c r="C1274" t="s">
        <v>356</v>
      </c>
      <c r="D1274" s="115">
        <v>44956</v>
      </c>
      <c r="E1274">
        <v>6000</v>
      </c>
      <c r="F1274" t="s">
        <v>357</v>
      </c>
      <c r="G1274" s="159" t="s">
        <v>377</v>
      </c>
      <c r="H1274" s="115">
        <v>44956</v>
      </c>
    </row>
    <row r="1275" spans="1:10">
      <c r="A1275" s="114" t="s">
        <v>115</v>
      </c>
      <c r="B1275" s="114">
        <v>3882</v>
      </c>
      <c r="C1275" s="114" t="s">
        <v>127</v>
      </c>
      <c r="D1275" s="115">
        <v>44956</v>
      </c>
      <c r="E1275" s="114">
        <v>5600</v>
      </c>
      <c r="F1275" s="114" t="s">
        <v>157</v>
      </c>
      <c r="G1275" s="159" t="s">
        <v>377</v>
      </c>
      <c r="H1275" s="115">
        <v>44956</v>
      </c>
    </row>
    <row r="1276" spans="1:10">
      <c r="A1276" s="87" t="s">
        <v>73</v>
      </c>
      <c r="B1276" s="87">
        <v>1968</v>
      </c>
      <c r="C1276" s="87" t="s">
        <v>330</v>
      </c>
      <c r="D1276" s="102">
        <v>44991</v>
      </c>
      <c r="E1276" s="87">
        <f>8400+300</f>
        <v>8700</v>
      </c>
      <c r="F1276" s="87" t="s">
        <v>8</v>
      </c>
      <c r="G1276" s="114" t="s">
        <v>393</v>
      </c>
      <c r="H1276" s="102">
        <v>44991</v>
      </c>
      <c r="I1276">
        <v>300</v>
      </c>
    </row>
    <row r="1277" spans="1:10">
      <c r="A1277" s="87" t="s">
        <v>115</v>
      </c>
      <c r="B1277" s="87">
        <v>3904</v>
      </c>
      <c r="C1277" s="87" t="s">
        <v>235</v>
      </c>
      <c r="D1277" s="102">
        <v>44991</v>
      </c>
      <c r="E1277" s="87">
        <f>25000+1000</f>
        <v>26000</v>
      </c>
      <c r="F1277" s="87" t="s">
        <v>8</v>
      </c>
      <c r="G1277" s="114" t="s">
        <v>393</v>
      </c>
      <c r="H1277" s="102">
        <v>44991</v>
      </c>
      <c r="I1277" s="204">
        <v>1000</v>
      </c>
    </row>
    <row r="1278" spans="1:10">
      <c r="A1278" s="87" t="s">
        <v>115</v>
      </c>
      <c r="B1278" s="87">
        <v>3905</v>
      </c>
      <c r="C1278" s="87" t="s">
        <v>234</v>
      </c>
      <c r="D1278" s="102">
        <v>44991</v>
      </c>
      <c r="E1278" s="87">
        <f>33000+1500</f>
        <v>34500</v>
      </c>
      <c r="F1278" s="87" t="s">
        <v>8</v>
      </c>
      <c r="G1278" s="114" t="s">
        <v>393</v>
      </c>
      <c r="H1278" s="102">
        <v>44991</v>
      </c>
      <c r="I1278" s="204">
        <v>1500</v>
      </c>
    </row>
    <row r="1279" spans="1:10">
      <c r="A1279" s="87" t="s">
        <v>73</v>
      </c>
      <c r="B1279" s="87">
        <v>1969</v>
      </c>
      <c r="C1279" s="87" t="s">
        <v>230</v>
      </c>
      <c r="D1279" s="102">
        <v>44991</v>
      </c>
      <c r="E1279" s="87">
        <f>17600+600</f>
        <v>18200</v>
      </c>
      <c r="F1279" s="87" t="s">
        <v>231</v>
      </c>
      <c r="G1279" s="114" t="s">
        <v>393</v>
      </c>
      <c r="H1279" s="102">
        <v>44991</v>
      </c>
      <c r="I1279">
        <v>600</v>
      </c>
    </row>
    <row r="1280" spans="1:10">
      <c r="A1280" s="87" t="s">
        <v>115</v>
      </c>
      <c r="B1280" s="87">
        <v>3906</v>
      </c>
      <c r="C1280" s="87" t="s">
        <v>233</v>
      </c>
      <c r="D1280" s="102">
        <v>44991</v>
      </c>
      <c r="E1280" s="87">
        <f>14900+600</f>
        <v>15500</v>
      </c>
      <c r="F1280" s="87" t="s">
        <v>8</v>
      </c>
      <c r="G1280" s="114" t="s">
        <v>393</v>
      </c>
      <c r="H1280" s="102">
        <v>44991</v>
      </c>
      <c r="I1280">
        <v>600</v>
      </c>
    </row>
    <row r="1281" spans="1:8">
      <c r="A1281" s="99" t="s">
        <v>115</v>
      </c>
      <c r="B1281">
        <v>3883</v>
      </c>
      <c r="C1281" s="205" t="s">
        <v>394</v>
      </c>
      <c r="D1281" s="92">
        <v>44742</v>
      </c>
      <c r="E1281">
        <v>6000</v>
      </c>
      <c r="F1281" s="87" t="s">
        <v>8</v>
      </c>
      <c r="G1281" s="114" t="s">
        <v>331</v>
      </c>
      <c r="H1281" s="92">
        <v>44983</v>
      </c>
    </row>
    <row r="1282" spans="1:8">
      <c r="A1282" s="114" t="s">
        <v>115</v>
      </c>
      <c r="B1282" s="114">
        <v>3884</v>
      </c>
      <c r="C1282" s="114" t="s">
        <v>170</v>
      </c>
      <c r="D1282" s="115">
        <v>44984</v>
      </c>
      <c r="E1282" s="114">
        <v>3300</v>
      </c>
      <c r="F1282" s="114" t="s">
        <v>161</v>
      </c>
      <c r="G1282" s="206" t="s">
        <v>395</v>
      </c>
      <c r="H1282" s="115">
        <v>44984</v>
      </c>
    </row>
    <row r="1283" spans="1:8">
      <c r="A1283" s="114" t="s">
        <v>73</v>
      </c>
      <c r="B1283" s="114">
        <v>1952</v>
      </c>
      <c r="C1283" s="114" t="s">
        <v>275</v>
      </c>
      <c r="D1283" s="115">
        <v>44984</v>
      </c>
      <c r="E1283" s="114">
        <v>5200</v>
      </c>
      <c r="F1283" s="114" t="s">
        <v>89</v>
      </c>
      <c r="G1283" s="206" t="s">
        <v>395</v>
      </c>
      <c r="H1283" s="115">
        <v>44985</v>
      </c>
    </row>
    <row r="1284" spans="1:8">
      <c r="A1284" s="114" t="s">
        <v>115</v>
      </c>
      <c r="B1284" s="114">
        <v>3885</v>
      </c>
      <c r="C1284" s="114" t="s">
        <v>131</v>
      </c>
      <c r="D1284" s="115">
        <v>44984</v>
      </c>
      <c r="E1284" s="114">
        <v>1100</v>
      </c>
      <c r="F1284" s="114" t="s">
        <v>142</v>
      </c>
      <c r="G1284" s="206" t="s">
        <v>395</v>
      </c>
      <c r="H1284" s="115">
        <v>44984</v>
      </c>
    </row>
    <row r="1285" spans="1:8">
      <c r="A1285" s="114" t="s">
        <v>115</v>
      </c>
      <c r="B1285" s="114">
        <v>3886</v>
      </c>
      <c r="C1285" s="114" t="s">
        <v>128</v>
      </c>
      <c r="D1285" s="115">
        <v>44984</v>
      </c>
      <c r="E1285" s="114">
        <f>10200+1000</f>
        <v>11200</v>
      </c>
      <c r="F1285" s="114" t="s">
        <v>142</v>
      </c>
      <c r="G1285" s="206" t="s">
        <v>395</v>
      </c>
      <c r="H1285" s="115">
        <v>44984</v>
      </c>
    </row>
    <row r="1286" spans="1:8">
      <c r="A1286" s="114" t="s">
        <v>115</v>
      </c>
      <c r="B1286" s="114">
        <v>3887</v>
      </c>
      <c r="C1286" s="114" t="s">
        <v>134</v>
      </c>
      <c r="D1286" s="115">
        <v>44984</v>
      </c>
      <c r="E1286" s="114">
        <v>3200</v>
      </c>
      <c r="F1286" s="114" t="s">
        <v>135</v>
      </c>
      <c r="G1286" s="206" t="s">
        <v>395</v>
      </c>
      <c r="H1286" s="115">
        <v>44984</v>
      </c>
    </row>
    <row r="1287" spans="1:8">
      <c r="A1287" s="114" t="s">
        <v>73</v>
      </c>
      <c r="B1287" s="114">
        <v>1953</v>
      </c>
      <c r="C1287" s="114" t="s">
        <v>109</v>
      </c>
      <c r="D1287" s="115">
        <v>44984</v>
      </c>
      <c r="E1287" s="114">
        <v>2800</v>
      </c>
      <c r="F1287" s="114" t="s">
        <v>91</v>
      </c>
      <c r="G1287" s="206" t="s">
        <v>395</v>
      </c>
      <c r="H1287" s="115">
        <v>44985</v>
      </c>
    </row>
    <row r="1288" spans="1:8">
      <c r="A1288" s="114" t="s">
        <v>115</v>
      </c>
      <c r="B1288" s="114">
        <v>3888</v>
      </c>
      <c r="C1288" s="114" t="s">
        <v>147</v>
      </c>
      <c r="D1288" s="115">
        <v>44984</v>
      </c>
      <c r="E1288" s="114">
        <v>5600</v>
      </c>
      <c r="F1288" s="114" t="s">
        <v>89</v>
      </c>
      <c r="G1288" s="206" t="s">
        <v>395</v>
      </c>
      <c r="H1288" s="115">
        <v>44984</v>
      </c>
    </row>
    <row r="1289" spans="1:8">
      <c r="A1289" s="114" t="s">
        <v>115</v>
      </c>
      <c r="B1289" s="114">
        <v>3889</v>
      </c>
      <c r="C1289" s="114" t="s">
        <v>130</v>
      </c>
      <c r="D1289" s="115">
        <v>44984</v>
      </c>
      <c r="E1289" s="114">
        <v>1500</v>
      </c>
      <c r="F1289" s="114" t="s">
        <v>142</v>
      </c>
      <c r="G1289" s="206" t="s">
        <v>395</v>
      </c>
      <c r="H1289" s="115">
        <v>44984</v>
      </c>
    </row>
    <row r="1290" spans="1:8">
      <c r="A1290" s="114" t="s">
        <v>115</v>
      </c>
      <c r="B1290" s="114">
        <v>3890</v>
      </c>
      <c r="C1290" s="160" t="s">
        <v>152</v>
      </c>
      <c r="D1290" s="115">
        <v>44984</v>
      </c>
      <c r="E1290" s="114">
        <v>3600</v>
      </c>
      <c r="F1290" s="114" t="s">
        <v>164</v>
      </c>
      <c r="G1290" s="206" t="s">
        <v>395</v>
      </c>
      <c r="H1290" s="115">
        <v>44984</v>
      </c>
    </row>
    <row r="1291" spans="1:8">
      <c r="A1291" s="114" t="s">
        <v>73</v>
      </c>
      <c r="B1291" s="114">
        <v>1954</v>
      </c>
      <c r="C1291" s="114" t="s">
        <v>87</v>
      </c>
      <c r="D1291" s="115">
        <v>44984</v>
      </c>
      <c r="E1291" s="114">
        <v>1100</v>
      </c>
      <c r="F1291" s="114" t="s">
        <v>91</v>
      </c>
      <c r="G1291" s="206" t="s">
        <v>395</v>
      </c>
      <c r="H1291" s="115">
        <v>44985</v>
      </c>
    </row>
    <row r="1292" spans="1:8">
      <c r="A1292" s="114" t="s">
        <v>115</v>
      </c>
      <c r="B1292" s="114">
        <v>3891</v>
      </c>
      <c r="C1292" s="114" t="s">
        <v>129</v>
      </c>
      <c r="D1292" s="115">
        <v>44984</v>
      </c>
      <c r="E1292" s="114">
        <v>500</v>
      </c>
      <c r="F1292" s="114" t="s">
        <v>142</v>
      </c>
      <c r="G1292" s="206" t="s">
        <v>395</v>
      </c>
      <c r="H1292" s="115">
        <v>44984</v>
      </c>
    </row>
    <row r="1293" spans="1:8">
      <c r="A1293" s="114" t="s">
        <v>73</v>
      </c>
      <c r="B1293" s="114">
        <v>1955</v>
      </c>
      <c r="C1293" s="114" t="s">
        <v>292</v>
      </c>
      <c r="D1293" s="115">
        <v>44984</v>
      </c>
      <c r="E1293" s="114">
        <v>2800</v>
      </c>
      <c r="F1293" s="114" t="s">
        <v>107</v>
      </c>
      <c r="G1293" s="206" t="s">
        <v>395</v>
      </c>
      <c r="H1293" s="115">
        <v>44985</v>
      </c>
    </row>
    <row r="1294" spans="1:8">
      <c r="A1294" s="114" t="s">
        <v>115</v>
      </c>
      <c r="B1294" s="114">
        <v>3892</v>
      </c>
      <c r="C1294" s="114" t="s">
        <v>132</v>
      </c>
      <c r="D1294" s="115">
        <v>44984</v>
      </c>
      <c r="E1294" s="114">
        <v>3900</v>
      </c>
      <c r="F1294" s="114" t="s">
        <v>135</v>
      </c>
      <c r="G1294" s="206" t="s">
        <v>395</v>
      </c>
      <c r="H1294" s="115">
        <v>44984</v>
      </c>
    </row>
    <row r="1295" spans="1:8">
      <c r="A1295" s="114" t="s">
        <v>73</v>
      </c>
      <c r="B1295" s="114">
        <v>1956</v>
      </c>
      <c r="C1295" s="114" t="s">
        <v>378</v>
      </c>
      <c r="D1295" s="115">
        <v>44984</v>
      </c>
      <c r="E1295" s="114">
        <v>2500</v>
      </c>
      <c r="F1295" s="114" t="s">
        <v>8</v>
      </c>
      <c r="G1295" s="206" t="s">
        <v>395</v>
      </c>
      <c r="H1295" s="115">
        <v>44985</v>
      </c>
    </row>
    <row r="1296" spans="1:8">
      <c r="A1296" s="114" t="s">
        <v>115</v>
      </c>
      <c r="B1296" s="114">
        <v>3893</v>
      </c>
      <c r="C1296" s="114" t="s">
        <v>141</v>
      </c>
      <c r="D1296" s="115">
        <v>44984</v>
      </c>
      <c r="E1296" s="114">
        <v>2000</v>
      </c>
      <c r="F1296" s="114" t="s">
        <v>142</v>
      </c>
      <c r="G1296" s="206" t="s">
        <v>395</v>
      </c>
      <c r="H1296" s="115">
        <v>44984</v>
      </c>
    </row>
    <row r="1297" spans="1:10">
      <c r="A1297" s="114" t="s">
        <v>73</v>
      </c>
      <c r="B1297" s="114">
        <v>1957</v>
      </c>
      <c r="C1297" s="114" t="s">
        <v>321</v>
      </c>
      <c r="D1297" s="115">
        <v>44984</v>
      </c>
      <c r="E1297" s="114">
        <v>2000</v>
      </c>
      <c r="F1297" s="114" t="s">
        <v>8</v>
      </c>
      <c r="G1297" s="206" t="s">
        <v>395</v>
      </c>
      <c r="H1297" s="115">
        <v>44985</v>
      </c>
    </row>
    <row r="1298" spans="1:10">
      <c r="A1298" s="114" t="s">
        <v>73</v>
      </c>
      <c r="B1298" s="114">
        <v>1958</v>
      </c>
      <c r="C1298" s="87" t="s">
        <v>207</v>
      </c>
      <c r="D1298" s="115">
        <v>44984</v>
      </c>
      <c r="E1298" s="114">
        <v>9000</v>
      </c>
      <c r="F1298" s="87" t="s">
        <v>93</v>
      </c>
      <c r="G1298" s="206" t="s">
        <v>395</v>
      </c>
      <c r="H1298" s="115">
        <v>44985</v>
      </c>
    </row>
    <row r="1299" spans="1:10">
      <c r="A1299" s="114" t="s">
        <v>73</v>
      </c>
      <c r="B1299" s="114">
        <v>1959</v>
      </c>
      <c r="C1299" s="114" t="s">
        <v>81</v>
      </c>
      <c r="D1299" s="115">
        <v>44984</v>
      </c>
      <c r="E1299" s="114">
        <v>1800</v>
      </c>
      <c r="F1299" s="114" t="s">
        <v>92</v>
      </c>
      <c r="G1299" s="206" t="s">
        <v>395</v>
      </c>
      <c r="H1299" s="115">
        <v>44985</v>
      </c>
    </row>
    <row r="1300" spans="1:10">
      <c r="A1300" s="114" t="s">
        <v>115</v>
      </c>
      <c r="B1300" s="114">
        <v>3894</v>
      </c>
      <c r="C1300" s="114" t="s">
        <v>137</v>
      </c>
      <c r="D1300" s="115">
        <v>44984</v>
      </c>
      <c r="E1300" s="114">
        <v>4200</v>
      </c>
      <c r="F1300" s="114" t="s">
        <v>376</v>
      </c>
      <c r="G1300" s="206" t="s">
        <v>395</v>
      </c>
      <c r="H1300" s="115">
        <v>44984</v>
      </c>
    </row>
    <row r="1301" spans="1:10">
      <c r="A1301" s="114" t="s">
        <v>115</v>
      </c>
      <c r="B1301" s="114">
        <v>3895</v>
      </c>
      <c r="C1301" s="114" t="s">
        <v>149</v>
      </c>
      <c r="D1301" s="115">
        <v>44984</v>
      </c>
      <c r="E1301" s="114">
        <v>1500</v>
      </c>
      <c r="F1301" s="114" t="s">
        <v>8</v>
      </c>
      <c r="G1301" s="206" t="s">
        <v>395</v>
      </c>
      <c r="H1301" s="115">
        <v>44984</v>
      </c>
    </row>
    <row r="1302" spans="1:10">
      <c r="A1302" s="114" t="s">
        <v>73</v>
      </c>
      <c r="B1302" s="114">
        <v>1960</v>
      </c>
      <c r="C1302" s="114" t="s">
        <v>99</v>
      </c>
      <c r="D1302" s="115">
        <v>44984</v>
      </c>
      <c r="E1302" s="114">
        <v>3600</v>
      </c>
      <c r="F1302" s="114" t="s">
        <v>112</v>
      </c>
      <c r="G1302" s="206" t="s">
        <v>395</v>
      </c>
      <c r="H1302" s="115">
        <v>44985</v>
      </c>
    </row>
    <row r="1303" spans="1:10">
      <c r="A1303" s="114" t="s">
        <v>73</v>
      </c>
      <c r="B1303" s="114">
        <v>1961</v>
      </c>
      <c r="C1303" s="114" t="s">
        <v>80</v>
      </c>
      <c r="D1303" s="115">
        <v>44984</v>
      </c>
      <c r="E1303" s="114">
        <v>1600</v>
      </c>
      <c r="F1303" s="114" t="s">
        <v>112</v>
      </c>
      <c r="G1303" s="206" t="s">
        <v>395</v>
      </c>
      <c r="H1303" s="115">
        <v>44985</v>
      </c>
    </row>
    <row r="1304" spans="1:10">
      <c r="A1304" s="114" t="s">
        <v>73</v>
      </c>
      <c r="B1304" s="114">
        <v>1962</v>
      </c>
      <c r="C1304" s="114" t="s">
        <v>96</v>
      </c>
      <c r="D1304" s="115">
        <v>44984</v>
      </c>
      <c r="E1304" s="114">
        <v>3600</v>
      </c>
      <c r="F1304" s="114" t="s">
        <v>112</v>
      </c>
      <c r="G1304" s="206" t="s">
        <v>395</v>
      </c>
      <c r="H1304" s="115"/>
    </row>
    <row r="1305" spans="1:10">
      <c r="A1305" s="114" t="s">
        <v>115</v>
      </c>
      <c r="B1305" s="114">
        <v>3896</v>
      </c>
      <c r="C1305" s="114" t="s">
        <v>148</v>
      </c>
      <c r="D1305" s="115">
        <v>44984</v>
      </c>
      <c r="E1305" s="114">
        <v>4200</v>
      </c>
      <c r="F1305" s="114" t="s">
        <v>166</v>
      </c>
      <c r="G1305" s="206" t="s">
        <v>395</v>
      </c>
      <c r="H1305" s="115">
        <v>44984</v>
      </c>
    </row>
    <row r="1306" spans="1:10">
      <c r="A1306" s="114" t="s">
        <v>115</v>
      </c>
      <c r="B1306" s="114">
        <v>3897</v>
      </c>
      <c r="C1306" s="114" t="s">
        <v>138</v>
      </c>
      <c r="D1306" s="115">
        <v>44984</v>
      </c>
      <c r="E1306" s="114">
        <v>2800</v>
      </c>
      <c r="F1306" s="114" t="s">
        <v>135</v>
      </c>
      <c r="G1306" s="206" t="s">
        <v>395</v>
      </c>
      <c r="H1306" s="115">
        <v>44984</v>
      </c>
    </row>
    <row r="1307" spans="1:10">
      <c r="A1307" s="114" t="s">
        <v>73</v>
      </c>
      <c r="B1307" s="114">
        <v>1963</v>
      </c>
      <c r="C1307" s="114" t="s">
        <v>340</v>
      </c>
      <c r="D1307" s="115">
        <v>44984</v>
      </c>
      <c r="E1307" s="114">
        <v>1500</v>
      </c>
      <c r="F1307" s="114" t="s">
        <v>8</v>
      </c>
      <c r="G1307" s="206" t="s">
        <v>395</v>
      </c>
      <c r="H1307" s="115"/>
      <c r="J1307" t="s">
        <v>58</v>
      </c>
    </row>
    <row r="1308" spans="1:10">
      <c r="A1308" s="114" t="s">
        <v>73</v>
      </c>
      <c r="B1308" s="114">
        <v>1964</v>
      </c>
      <c r="C1308" s="114" t="s">
        <v>79</v>
      </c>
      <c r="D1308" s="115">
        <v>44984</v>
      </c>
      <c r="E1308" s="114">
        <v>1600</v>
      </c>
      <c r="F1308" s="114" t="s">
        <v>3</v>
      </c>
      <c r="G1308" s="206" t="s">
        <v>395</v>
      </c>
      <c r="H1308" s="115">
        <v>44985</v>
      </c>
    </row>
    <row r="1309" spans="1:10">
      <c r="A1309" s="114" t="s">
        <v>73</v>
      </c>
      <c r="B1309" s="114">
        <v>1965</v>
      </c>
      <c r="C1309" s="114" t="s">
        <v>106</v>
      </c>
      <c r="D1309" s="115">
        <v>44984</v>
      </c>
      <c r="E1309" s="114">
        <v>2800</v>
      </c>
      <c r="F1309" s="114" t="s">
        <v>107</v>
      </c>
      <c r="G1309" s="206" t="s">
        <v>395</v>
      </c>
      <c r="H1309" s="115"/>
    </row>
    <row r="1310" spans="1:10">
      <c r="A1310" s="114" t="s">
        <v>115</v>
      </c>
      <c r="B1310" s="114">
        <v>3898</v>
      </c>
      <c r="C1310" s="114" t="s">
        <v>237</v>
      </c>
      <c r="D1310" s="115">
        <v>44984</v>
      </c>
      <c r="E1310" s="114">
        <v>8500</v>
      </c>
      <c r="F1310" s="114" t="s">
        <v>238</v>
      </c>
      <c r="G1310" s="206" t="s">
        <v>395</v>
      </c>
      <c r="H1310" s="115">
        <v>44984</v>
      </c>
    </row>
    <row r="1311" spans="1:10">
      <c r="A1311" s="114" t="s">
        <v>115</v>
      </c>
      <c r="B1311" s="114">
        <v>3899</v>
      </c>
      <c r="C1311" s="114" t="s">
        <v>146</v>
      </c>
      <c r="D1311" s="115">
        <v>44984</v>
      </c>
      <c r="E1311" s="114">
        <v>2000</v>
      </c>
      <c r="F1311" s="114" t="s">
        <v>8</v>
      </c>
      <c r="G1311" s="206" t="s">
        <v>395</v>
      </c>
      <c r="H1311" s="115">
        <v>44984</v>
      </c>
    </row>
    <row r="1312" spans="1:10">
      <c r="A1312" s="114" t="s">
        <v>115</v>
      </c>
      <c r="B1312" s="114">
        <v>3900</v>
      </c>
      <c r="C1312" s="114" t="s">
        <v>315</v>
      </c>
      <c r="D1312" s="115">
        <v>44984</v>
      </c>
      <c r="E1312" s="114">
        <v>3000</v>
      </c>
      <c r="F1312" s="114" t="s">
        <v>157</v>
      </c>
      <c r="G1312" s="206" t="s">
        <v>395</v>
      </c>
      <c r="H1312" s="115">
        <v>44984</v>
      </c>
    </row>
    <row r="1313" spans="1:10">
      <c r="A1313" s="114" t="s">
        <v>115</v>
      </c>
      <c r="B1313" s="114">
        <v>3901</v>
      </c>
      <c r="C1313" s="114" t="s">
        <v>344</v>
      </c>
      <c r="D1313" s="115">
        <v>44984</v>
      </c>
      <c r="E1313" s="114">
        <v>3500</v>
      </c>
      <c r="F1313" s="114" t="s">
        <v>8</v>
      </c>
      <c r="G1313" s="206" t="s">
        <v>395</v>
      </c>
      <c r="H1313" s="115">
        <v>44984</v>
      </c>
    </row>
    <row r="1314" spans="1:10">
      <c r="A1314" s="114" t="s">
        <v>73</v>
      </c>
      <c r="B1314" s="114">
        <v>1966</v>
      </c>
      <c r="C1314" s="114" t="s">
        <v>110</v>
      </c>
      <c r="D1314" s="115">
        <v>44984</v>
      </c>
      <c r="E1314" s="114">
        <v>2800</v>
      </c>
      <c r="F1314" s="114" t="s">
        <v>107</v>
      </c>
      <c r="G1314" s="206" t="s">
        <v>395</v>
      </c>
      <c r="H1314" s="115"/>
    </row>
    <row r="1315" spans="1:10">
      <c r="A1315" s="114" t="s">
        <v>115</v>
      </c>
      <c r="B1315" s="114">
        <v>3902</v>
      </c>
      <c r="C1315" s="114" t="s">
        <v>289</v>
      </c>
      <c r="D1315" s="115">
        <v>44984</v>
      </c>
      <c r="E1315" s="114">
        <v>2300</v>
      </c>
      <c r="F1315" s="114" t="s">
        <v>290</v>
      </c>
      <c r="G1315" s="206" t="s">
        <v>395</v>
      </c>
      <c r="H1315" s="115">
        <v>44984</v>
      </c>
    </row>
    <row r="1316" spans="1:10">
      <c r="A1316" s="114" t="s">
        <v>73</v>
      </c>
      <c r="B1316" s="114">
        <v>1967</v>
      </c>
      <c r="C1316" t="s">
        <v>356</v>
      </c>
      <c r="D1316" s="115">
        <v>44984</v>
      </c>
      <c r="E1316">
        <v>6000</v>
      </c>
      <c r="F1316" t="s">
        <v>357</v>
      </c>
      <c r="G1316" s="206" t="s">
        <v>395</v>
      </c>
      <c r="H1316" s="115"/>
    </row>
    <row r="1317" spans="1:10">
      <c r="A1317" s="114" t="s">
        <v>115</v>
      </c>
      <c r="B1317" s="114">
        <v>3903</v>
      </c>
      <c r="C1317" s="114" t="s">
        <v>127</v>
      </c>
      <c r="D1317" s="115">
        <v>44984</v>
      </c>
      <c r="E1317" s="114">
        <v>5600</v>
      </c>
      <c r="F1317" s="114" t="s">
        <v>157</v>
      </c>
      <c r="G1317" s="206" t="s">
        <v>395</v>
      </c>
      <c r="H1317" s="115">
        <v>44984</v>
      </c>
    </row>
    <row r="1318" spans="1:10">
      <c r="A1318" s="114" t="s">
        <v>73</v>
      </c>
      <c r="B1318" s="114">
        <v>1970</v>
      </c>
      <c r="C1318" s="114" t="s">
        <v>79</v>
      </c>
      <c r="D1318" s="115">
        <v>44993</v>
      </c>
      <c r="E1318" s="114">
        <v>1600</v>
      </c>
      <c r="F1318" s="114" t="s">
        <v>3</v>
      </c>
      <c r="G1318" s="204" t="s">
        <v>396</v>
      </c>
      <c r="H1318" s="92">
        <v>44993</v>
      </c>
    </row>
    <row r="1319" spans="1:10">
      <c r="A1319" s="114" t="s">
        <v>73</v>
      </c>
      <c r="B1319" s="114">
        <v>1971</v>
      </c>
      <c r="C1319" s="114" t="s">
        <v>80</v>
      </c>
      <c r="D1319" s="115">
        <v>44993</v>
      </c>
      <c r="E1319" s="114">
        <v>1600</v>
      </c>
      <c r="F1319" s="114" t="s">
        <v>3</v>
      </c>
      <c r="G1319" s="204" t="s">
        <v>396</v>
      </c>
      <c r="H1319" s="92">
        <v>44993</v>
      </c>
    </row>
    <row r="1320" spans="1:10">
      <c r="A1320" s="114" t="s">
        <v>115</v>
      </c>
      <c r="B1320">
        <v>3907</v>
      </c>
      <c r="C1320" s="114" t="s">
        <v>190</v>
      </c>
      <c r="D1320" s="92">
        <v>44996</v>
      </c>
      <c r="E1320" s="114">
        <f>3100*3</f>
        <v>9300</v>
      </c>
      <c r="F1320" s="114" t="s">
        <v>142</v>
      </c>
      <c r="G1320" t="s">
        <v>397</v>
      </c>
      <c r="H1320" s="92">
        <v>44996</v>
      </c>
    </row>
    <row r="1321" spans="1:10">
      <c r="A1321" s="114" t="s">
        <v>73</v>
      </c>
      <c r="B1321">
        <v>1972</v>
      </c>
      <c r="C1321" s="114" t="s">
        <v>102</v>
      </c>
      <c r="D1321" s="92">
        <v>44996</v>
      </c>
      <c r="E1321" s="114">
        <v>5500</v>
      </c>
      <c r="F1321" s="114" t="s">
        <v>8</v>
      </c>
      <c r="G1321" s="207" t="s">
        <v>398</v>
      </c>
      <c r="H1321" s="92">
        <v>44996</v>
      </c>
      <c r="J1321" s="216" t="s">
        <v>410</v>
      </c>
    </row>
    <row r="1322" spans="1:10">
      <c r="A1322" s="114" t="s">
        <v>73</v>
      </c>
      <c r="B1322">
        <v>1973</v>
      </c>
      <c r="C1322" s="114" t="s">
        <v>275</v>
      </c>
      <c r="D1322" s="92">
        <v>45008</v>
      </c>
      <c r="E1322" s="114">
        <v>5200</v>
      </c>
      <c r="F1322" s="114" t="s">
        <v>89</v>
      </c>
      <c r="G1322" s="208" t="s">
        <v>396</v>
      </c>
      <c r="H1322" s="92">
        <v>45008</v>
      </c>
    </row>
    <row r="1323" spans="1:10">
      <c r="A1323" s="114" t="s">
        <v>115</v>
      </c>
      <c r="B1323" s="207">
        <v>3908</v>
      </c>
      <c r="C1323" s="114" t="s">
        <v>131</v>
      </c>
      <c r="D1323" s="92">
        <v>45008</v>
      </c>
      <c r="E1323" s="114">
        <v>1100</v>
      </c>
      <c r="F1323" s="114" t="s">
        <v>142</v>
      </c>
      <c r="G1323" s="208" t="s">
        <v>396</v>
      </c>
      <c r="H1323" s="92">
        <v>45008</v>
      </c>
    </row>
    <row r="1324" spans="1:10">
      <c r="A1324" s="114" t="s">
        <v>115</v>
      </c>
      <c r="B1324" s="207">
        <v>3909</v>
      </c>
      <c r="C1324" s="114" t="s">
        <v>128</v>
      </c>
      <c r="D1324" s="115">
        <v>45008</v>
      </c>
      <c r="E1324" s="114">
        <f>10200+1000</f>
        <v>11200</v>
      </c>
      <c r="F1324" s="114" t="s">
        <v>142</v>
      </c>
      <c r="G1324" s="208" t="s">
        <v>396</v>
      </c>
      <c r="H1324" s="92">
        <v>45008</v>
      </c>
    </row>
    <row r="1325" spans="1:10">
      <c r="A1325" s="114" t="s">
        <v>115</v>
      </c>
      <c r="B1325" s="207">
        <v>3910</v>
      </c>
      <c r="C1325" s="114" t="s">
        <v>134</v>
      </c>
      <c r="D1325" s="115">
        <v>45008</v>
      </c>
      <c r="E1325" s="114">
        <v>3200</v>
      </c>
      <c r="F1325" s="114" t="s">
        <v>135</v>
      </c>
      <c r="G1325" s="208" t="s">
        <v>396</v>
      </c>
      <c r="H1325" s="92">
        <v>45008</v>
      </c>
    </row>
    <row r="1326" spans="1:10">
      <c r="A1326" s="114" t="s">
        <v>73</v>
      </c>
      <c r="B1326" s="207">
        <v>1974</v>
      </c>
      <c r="C1326" s="114" t="s">
        <v>109</v>
      </c>
      <c r="D1326" s="115">
        <v>45008</v>
      </c>
      <c r="E1326" s="114">
        <v>2800</v>
      </c>
      <c r="F1326" s="114" t="s">
        <v>91</v>
      </c>
      <c r="G1326" s="208" t="s">
        <v>396</v>
      </c>
      <c r="H1326" s="92">
        <v>45008</v>
      </c>
    </row>
    <row r="1327" spans="1:10">
      <c r="A1327" s="114" t="s">
        <v>115</v>
      </c>
      <c r="B1327" s="207">
        <v>3911</v>
      </c>
      <c r="C1327" s="114" t="s">
        <v>147</v>
      </c>
      <c r="D1327" s="115">
        <v>45008</v>
      </c>
      <c r="E1327" s="114">
        <v>5600</v>
      </c>
      <c r="F1327" s="114" t="s">
        <v>89</v>
      </c>
      <c r="G1327" s="208" t="s">
        <v>396</v>
      </c>
      <c r="H1327" s="92">
        <v>45008</v>
      </c>
    </row>
    <row r="1328" spans="1:10">
      <c r="A1328" s="114" t="s">
        <v>115</v>
      </c>
      <c r="B1328" s="207">
        <v>3912</v>
      </c>
      <c r="C1328" s="114" t="s">
        <v>130</v>
      </c>
      <c r="D1328" s="115">
        <v>45008</v>
      </c>
      <c r="E1328" s="114">
        <v>1500</v>
      </c>
      <c r="F1328" s="114" t="s">
        <v>142</v>
      </c>
      <c r="G1328" s="208" t="s">
        <v>396</v>
      </c>
      <c r="H1328" s="92">
        <v>45008</v>
      </c>
    </row>
    <row r="1329" spans="1:9">
      <c r="A1329" s="114" t="s">
        <v>115</v>
      </c>
      <c r="B1329" s="207">
        <v>3913</v>
      </c>
      <c r="C1329" s="162" t="s">
        <v>153</v>
      </c>
      <c r="D1329" s="115">
        <v>45008</v>
      </c>
      <c r="E1329" s="114">
        <f>2100*3</f>
        <v>6300</v>
      </c>
      <c r="F1329" s="114" t="s">
        <v>168</v>
      </c>
      <c r="G1329" t="s">
        <v>397</v>
      </c>
      <c r="H1329" s="92">
        <v>45008</v>
      </c>
    </row>
    <row r="1330" spans="1:9">
      <c r="A1330" s="114" t="s">
        <v>115</v>
      </c>
      <c r="B1330" s="207">
        <v>3914</v>
      </c>
      <c r="C1330" s="129" t="s">
        <v>154</v>
      </c>
      <c r="D1330" s="115">
        <v>45008</v>
      </c>
      <c r="E1330" s="114">
        <f>2600*3</f>
        <v>7800</v>
      </c>
      <c r="F1330" s="87" t="s">
        <v>168</v>
      </c>
      <c r="G1330" t="s">
        <v>397</v>
      </c>
      <c r="H1330" s="92">
        <v>45008</v>
      </c>
    </row>
    <row r="1331" spans="1:9">
      <c r="A1331" s="114" t="s">
        <v>115</v>
      </c>
      <c r="B1331" s="114">
        <v>3915</v>
      </c>
      <c r="C1331" s="114" t="s">
        <v>140</v>
      </c>
      <c r="D1331" s="115">
        <v>45008</v>
      </c>
      <c r="E1331" s="114">
        <v>48600</v>
      </c>
      <c r="F1331" s="114" t="s">
        <v>25</v>
      </c>
      <c r="G1331" s="114" t="s">
        <v>397</v>
      </c>
      <c r="H1331" s="115">
        <v>45008</v>
      </c>
      <c r="I1331" t="s">
        <v>375</v>
      </c>
    </row>
    <row r="1332" spans="1:9">
      <c r="A1332" s="114" t="s">
        <v>73</v>
      </c>
      <c r="B1332" s="114">
        <v>1975</v>
      </c>
      <c r="C1332" s="114" t="s">
        <v>140</v>
      </c>
      <c r="D1332" s="115">
        <v>45008</v>
      </c>
      <c r="E1332" s="114">
        <v>41500</v>
      </c>
      <c r="F1332" s="114" t="s">
        <v>25</v>
      </c>
      <c r="G1332" s="114" t="s">
        <v>397</v>
      </c>
      <c r="H1332" s="115">
        <v>45008</v>
      </c>
      <c r="I1332" t="s">
        <v>424</v>
      </c>
    </row>
    <row r="1333" spans="1:9">
      <c r="A1333" s="114" t="s">
        <v>115</v>
      </c>
      <c r="B1333" s="207">
        <v>3916</v>
      </c>
      <c r="C1333" s="160" t="s">
        <v>152</v>
      </c>
      <c r="D1333" s="115">
        <v>45008</v>
      </c>
      <c r="E1333" s="114">
        <v>3600</v>
      </c>
      <c r="F1333" s="114" t="s">
        <v>164</v>
      </c>
      <c r="G1333" s="204" t="s">
        <v>396</v>
      </c>
      <c r="H1333" s="115">
        <v>45008</v>
      </c>
    </row>
    <row r="1334" spans="1:9">
      <c r="A1334" s="207" t="s">
        <v>73</v>
      </c>
      <c r="B1334" s="207">
        <v>1976</v>
      </c>
      <c r="C1334" s="114" t="s">
        <v>87</v>
      </c>
      <c r="D1334" s="115">
        <v>45008</v>
      </c>
      <c r="E1334" s="114">
        <v>1100</v>
      </c>
      <c r="F1334" s="114" t="s">
        <v>91</v>
      </c>
      <c r="G1334" s="204" t="s">
        <v>396</v>
      </c>
      <c r="H1334" s="115">
        <v>45008</v>
      </c>
    </row>
    <row r="1335" spans="1:9">
      <c r="A1335" s="207" t="s">
        <v>115</v>
      </c>
      <c r="B1335" s="207">
        <v>3917</v>
      </c>
      <c r="C1335" s="114" t="s">
        <v>129</v>
      </c>
      <c r="D1335" s="115">
        <v>45008</v>
      </c>
      <c r="E1335" s="114">
        <v>500</v>
      </c>
      <c r="F1335" s="114" t="s">
        <v>142</v>
      </c>
      <c r="G1335" s="204" t="s">
        <v>396</v>
      </c>
      <c r="H1335" s="115">
        <v>45008</v>
      </c>
    </row>
    <row r="1336" spans="1:9">
      <c r="A1336" s="207" t="s">
        <v>115</v>
      </c>
      <c r="B1336" s="207">
        <v>3918</v>
      </c>
      <c r="C1336" s="114" t="s">
        <v>170</v>
      </c>
      <c r="D1336" s="115">
        <v>45008</v>
      </c>
      <c r="E1336" s="114">
        <v>3300</v>
      </c>
      <c r="F1336" s="114" t="s">
        <v>161</v>
      </c>
      <c r="G1336" s="204" t="s">
        <v>396</v>
      </c>
      <c r="H1336" s="115">
        <v>45008</v>
      </c>
    </row>
    <row r="1337" spans="1:9">
      <c r="A1337" s="114" t="s">
        <v>73</v>
      </c>
      <c r="B1337">
        <v>1977</v>
      </c>
      <c r="C1337" s="114" t="s">
        <v>354</v>
      </c>
      <c r="D1337" s="115">
        <v>45008</v>
      </c>
      <c r="E1337" s="114">
        <f>2500*3</f>
        <v>7500</v>
      </c>
      <c r="F1337" s="114" t="s">
        <v>8</v>
      </c>
      <c r="G1337" s="204" t="s">
        <v>397</v>
      </c>
      <c r="H1337" s="115">
        <v>45008</v>
      </c>
    </row>
    <row r="1338" spans="1:9">
      <c r="A1338" s="114" t="s">
        <v>73</v>
      </c>
      <c r="B1338">
        <v>1978</v>
      </c>
      <c r="C1338" s="114" t="s">
        <v>292</v>
      </c>
      <c r="D1338" s="115">
        <v>45008</v>
      </c>
      <c r="E1338" s="114">
        <v>2800</v>
      </c>
      <c r="F1338" s="114" t="s">
        <v>107</v>
      </c>
      <c r="G1338" s="204" t="s">
        <v>396</v>
      </c>
      <c r="H1338" s="115">
        <v>45008</v>
      </c>
    </row>
    <row r="1339" spans="1:9">
      <c r="A1339" s="114" t="s">
        <v>115</v>
      </c>
      <c r="B1339">
        <v>3919</v>
      </c>
      <c r="C1339" s="114" t="s">
        <v>132</v>
      </c>
      <c r="D1339" s="115">
        <v>45008</v>
      </c>
      <c r="E1339" s="114">
        <v>3900</v>
      </c>
      <c r="F1339" s="114" t="s">
        <v>135</v>
      </c>
      <c r="G1339" s="204" t="s">
        <v>396</v>
      </c>
      <c r="H1339" s="115">
        <v>45008</v>
      </c>
    </row>
    <row r="1340" spans="1:9">
      <c r="A1340" s="114" t="s">
        <v>115</v>
      </c>
      <c r="B1340">
        <v>3920</v>
      </c>
      <c r="C1340" s="114" t="s">
        <v>141</v>
      </c>
      <c r="D1340" s="115">
        <v>45008</v>
      </c>
      <c r="E1340" s="114">
        <v>2000</v>
      </c>
      <c r="F1340" s="114" t="s">
        <v>142</v>
      </c>
      <c r="G1340" s="204" t="s">
        <v>396</v>
      </c>
      <c r="H1340" s="115">
        <v>45008</v>
      </c>
    </row>
    <row r="1341" spans="1:9">
      <c r="A1341" s="114" t="s">
        <v>73</v>
      </c>
      <c r="B1341" s="207">
        <v>1979</v>
      </c>
      <c r="C1341" s="114" t="s">
        <v>321</v>
      </c>
      <c r="D1341" s="115">
        <v>45008</v>
      </c>
      <c r="E1341" s="114">
        <v>2000</v>
      </c>
      <c r="F1341" s="114" t="s">
        <v>8</v>
      </c>
      <c r="G1341" s="204" t="s">
        <v>396</v>
      </c>
      <c r="H1341" s="115">
        <v>45008</v>
      </c>
    </row>
    <row r="1342" spans="1:9">
      <c r="A1342" s="114" t="s">
        <v>73</v>
      </c>
      <c r="B1342" s="207">
        <v>1980</v>
      </c>
      <c r="C1342" s="87" t="s">
        <v>207</v>
      </c>
      <c r="D1342" s="115">
        <v>45008</v>
      </c>
      <c r="E1342" s="114">
        <v>9000</v>
      </c>
      <c r="F1342" s="87" t="s">
        <v>93</v>
      </c>
      <c r="G1342" s="204" t="s">
        <v>396</v>
      </c>
      <c r="H1342" s="115">
        <v>45008</v>
      </c>
    </row>
    <row r="1343" spans="1:9">
      <c r="A1343" s="114" t="s">
        <v>73</v>
      </c>
      <c r="B1343" s="207">
        <v>1981</v>
      </c>
      <c r="C1343" s="114" t="s">
        <v>81</v>
      </c>
      <c r="D1343" s="115">
        <v>45008</v>
      </c>
      <c r="E1343" s="114">
        <v>1800</v>
      </c>
      <c r="F1343" s="114" t="s">
        <v>92</v>
      </c>
      <c r="G1343" s="204" t="s">
        <v>396</v>
      </c>
      <c r="H1343" s="115">
        <v>45008</v>
      </c>
      <c r="I1343" t="s">
        <v>411</v>
      </c>
    </row>
    <row r="1344" spans="1:9">
      <c r="A1344" s="114" t="s">
        <v>115</v>
      </c>
      <c r="B1344" s="207">
        <v>3921</v>
      </c>
      <c r="C1344" s="114" t="s">
        <v>137</v>
      </c>
      <c r="D1344" s="115">
        <v>45008</v>
      </c>
      <c r="E1344" s="114">
        <v>4200</v>
      </c>
      <c r="F1344" s="114" t="s">
        <v>376</v>
      </c>
      <c r="G1344" s="204" t="s">
        <v>396</v>
      </c>
      <c r="H1344" s="115">
        <v>45008</v>
      </c>
    </row>
    <row r="1345" spans="1:10">
      <c r="A1345" s="114" t="s">
        <v>115</v>
      </c>
      <c r="B1345" s="207">
        <v>3922</v>
      </c>
      <c r="C1345" s="114" t="s">
        <v>149</v>
      </c>
      <c r="D1345" s="115">
        <v>45008</v>
      </c>
      <c r="E1345" s="114">
        <v>1500</v>
      </c>
      <c r="F1345" s="114" t="s">
        <v>8</v>
      </c>
      <c r="G1345" s="204" t="s">
        <v>396</v>
      </c>
      <c r="H1345" s="115">
        <v>45008</v>
      </c>
    </row>
    <row r="1346" spans="1:10">
      <c r="A1346" s="114" t="s">
        <v>73</v>
      </c>
      <c r="B1346" s="207">
        <v>1982</v>
      </c>
      <c r="C1346" s="114" t="s">
        <v>99</v>
      </c>
      <c r="D1346" s="115">
        <v>45008</v>
      </c>
      <c r="E1346" s="114">
        <v>3600</v>
      </c>
      <c r="F1346" s="114" t="s">
        <v>112</v>
      </c>
      <c r="G1346" s="204" t="s">
        <v>396</v>
      </c>
      <c r="H1346" s="115">
        <v>45008</v>
      </c>
    </row>
    <row r="1347" spans="1:10">
      <c r="A1347" s="114" t="s">
        <v>73</v>
      </c>
      <c r="B1347" s="207">
        <v>1983</v>
      </c>
      <c r="C1347" s="114" t="s">
        <v>77</v>
      </c>
      <c r="D1347" s="115">
        <v>45008</v>
      </c>
      <c r="E1347" s="114">
        <v>2500</v>
      </c>
      <c r="F1347" s="114" t="s">
        <v>91</v>
      </c>
      <c r="G1347" t="s">
        <v>397</v>
      </c>
      <c r="H1347" s="115">
        <v>45008</v>
      </c>
    </row>
    <row r="1348" spans="1:10">
      <c r="A1348" s="114" t="s">
        <v>73</v>
      </c>
      <c r="B1348" s="207">
        <v>1984</v>
      </c>
      <c r="C1348" s="114" t="s">
        <v>86</v>
      </c>
      <c r="D1348" s="115">
        <v>45008</v>
      </c>
      <c r="E1348" s="114">
        <v>4800</v>
      </c>
      <c r="F1348" s="114" t="s">
        <v>8</v>
      </c>
      <c r="G1348" t="s">
        <v>397</v>
      </c>
      <c r="H1348" s="115">
        <v>45008</v>
      </c>
    </row>
    <row r="1349" spans="1:10">
      <c r="A1349" s="114" t="s">
        <v>73</v>
      </c>
      <c r="B1349" s="207">
        <v>1985</v>
      </c>
      <c r="C1349" s="114" t="s">
        <v>378</v>
      </c>
      <c r="D1349" s="115">
        <v>45008</v>
      </c>
      <c r="E1349" s="114">
        <v>2500</v>
      </c>
      <c r="F1349" s="114" t="s">
        <v>8</v>
      </c>
      <c r="G1349" s="204" t="s">
        <v>396</v>
      </c>
      <c r="H1349" s="115">
        <v>45008</v>
      </c>
    </row>
    <row r="1350" spans="1:10">
      <c r="A1350" t="s">
        <v>115</v>
      </c>
      <c r="B1350" s="207">
        <v>3923</v>
      </c>
      <c r="C1350" s="205" t="s">
        <v>394</v>
      </c>
      <c r="D1350" s="115">
        <v>45008</v>
      </c>
      <c r="E1350">
        <v>6000</v>
      </c>
      <c r="F1350" s="87" t="s">
        <v>8</v>
      </c>
      <c r="G1350" t="s">
        <v>393</v>
      </c>
      <c r="H1350" s="115">
        <v>45008</v>
      </c>
    </row>
    <row r="1351" spans="1:10">
      <c r="A1351" t="s">
        <v>115</v>
      </c>
      <c r="B1351" s="207">
        <v>3924</v>
      </c>
      <c r="C1351" s="114" t="s">
        <v>148</v>
      </c>
      <c r="D1351" s="115">
        <v>45008</v>
      </c>
      <c r="E1351" s="114">
        <v>4200</v>
      </c>
      <c r="F1351" s="114" t="s">
        <v>166</v>
      </c>
      <c r="G1351" s="204" t="s">
        <v>396</v>
      </c>
      <c r="H1351" s="115">
        <v>45008</v>
      </c>
    </row>
    <row r="1352" spans="1:10">
      <c r="A1352" t="s">
        <v>115</v>
      </c>
      <c r="B1352" s="207">
        <v>3925</v>
      </c>
      <c r="C1352" s="114" t="s">
        <v>138</v>
      </c>
      <c r="D1352" s="115">
        <v>45009</v>
      </c>
      <c r="E1352" s="114">
        <v>2800</v>
      </c>
      <c r="F1352" s="114" t="s">
        <v>135</v>
      </c>
      <c r="G1352" s="204" t="s">
        <v>396</v>
      </c>
      <c r="H1352" s="115">
        <v>45009</v>
      </c>
    </row>
    <row r="1353" spans="1:10">
      <c r="A1353" t="s">
        <v>73</v>
      </c>
      <c r="B1353" s="207">
        <v>1986</v>
      </c>
      <c r="C1353" s="114" t="s">
        <v>340</v>
      </c>
      <c r="D1353" s="115">
        <v>45009</v>
      </c>
      <c r="E1353" s="114">
        <v>1500</v>
      </c>
      <c r="F1353" s="114" t="s">
        <v>8</v>
      </c>
      <c r="G1353" s="204" t="s">
        <v>396</v>
      </c>
      <c r="H1353" s="115">
        <v>45009</v>
      </c>
      <c r="J1353" t="s">
        <v>58</v>
      </c>
    </row>
    <row r="1354" spans="1:10">
      <c r="A1354" t="s">
        <v>73</v>
      </c>
      <c r="B1354" s="207">
        <v>1987</v>
      </c>
      <c r="C1354" s="114" t="s">
        <v>106</v>
      </c>
      <c r="D1354" s="115">
        <v>45009</v>
      </c>
      <c r="E1354" s="114">
        <v>2800</v>
      </c>
      <c r="F1354" s="114" t="s">
        <v>107</v>
      </c>
      <c r="G1354" s="204" t="s">
        <v>396</v>
      </c>
      <c r="H1354" s="92">
        <v>45009</v>
      </c>
    </row>
    <row r="1355" spans="1:10">
      <c r="A1355" t="s">
        <v>115</v>
      </c>
      <c r="B1355" s="207">
        <v>3926</v>
      </c>
      <c r="C1355" s="114" t="s">
        <v>237</v>
      </c>
      <c r="D1355" s="115">
        <v>45009</v>
      </c>
      <c r="E1355" s="114">
        <v>8500</v>
      </c>
      <c r="F1355" s="114" t="s">
        <v>238</v>
      </c>
      <c r="G1355" s="204" t="s">
        <v>396</v>
      </c>
      <c r="H1355" s="92">
        <v>45009</v>
      </c>
    </row>
    <row r="1356" spans="1:10">
      <c r="A1356" s="114" t="s">
        <v>115</v>
      </c>
      <c r="B1356" s="207">
        <v>3927</v>
      </c>
      <c r="C1356" s="114" t="s">
        <v>146</v>
      </c>
      <c r="D1356" s="115">
        <v>45009</v>
      </c>
      <c r="E1356" s="114">
        <v>2000</v>
      </c>
      <c r="F1356" s="114" t="s">
        <v>8</v>
      </c>
      <c r="G1356" s="204" t="s">
        <v>396</v>
      </c>
      <c r="H1356" s="92">
        <v>45009</v>
      </c>
    </row>
    <row r="1357" spans="1:10">
      <c r="A1357" s="114" t="s">
        <v>115</v>
      </c>
      <c r="B1357" s="207">
        <v>3928</v>
      </c>
      <c r="C1357" s="114" t="s">
        <v>315</v>
      </c>
      <c r="D1357" s="115">
        <v>45009</v>
      </c>
      <c r="E1357" s="114">
        <v>3000</v>
      </c>
      <c r="F1357" s="114" t="s">
        <v>157</v>
      </c>
      <c r="G1357" s="204" t="s">
        <v>396</v>
      </c>
      <c r="H1357" s="92">
        <v>45009</v>
      </c>
    </row>
    <row r="1358" spans="1:10">
      <c r="A1358" s="114" t="s">
        <v>73</v>
      </c>
      <c r="B1358">
        <v>1988</v>
      </c>
      <c r="C1358" s="114" t="s">
        <v>101</v>
      </c>
      <c r="D1358" s="115">
        <v>45009</v>
      </c>
      <c r="E1358" s="114">
        <v>4800</v>
      </c>
      <c r="F1358" s="114" t="s">
        <v>8</v>
      </c>
      <c r="G1358" t="s">
        <v>397</v>
      </c>
      <c r="H1358" s="92">
        <v>45107</v>
      </c>
    </row>
    <row r="1359" spans="1:10">
      <c r="A1359" s="114" t="s">
        <v>115</v>
      </c>
      <c r="B1359">
        <v>3929</v>
      </c>
      <c r="C1359" s="114" t="s">
        <v>344</v>
      </c>
      <c r="D1359" s="115">
        <v>45009</v>
      </c>
      <c r="E1359" s="114">
        <v>3500</v>
      </c>
      <c r="F1359" s="114" t="s">
        <v>8</v>
      </c>
      <c r="G1359" s="204" t="s">
        <v>396</v>
      </c>
      <c r="H1359" s="92">
        <v>45009</v>
      </c>
    </row>
    <row r="1360" spans="1:10">
      <c r="A1360" s="114" t="s">
        <v>73</v>
      </c>
      <c r="B1360">
        <v>1989</v>
      </c>
      <c r="C1360" s="114" t="s">
        <v>110</v>
      </c>
      <c r="D1360" s="115">
        <v>45009</v>
      </c>
      <c r="E1360" s="114">
        <v>2800</v>
      </c>
      <c r="F1360" s="114" t="s">
        <v>107</v>
      </c>
      <c r="G1360" s="204" t="s">
        <v>396</v>
      </c>
      <c r="H1360" s="92">
        <v>45009</v>
      </c>
    </row>
    <row r="1361" spans="1:10">
      <c r="A1361" s="114" t="s">
        <v>115</v>
      </c>
      <c r="B1361">
        <v>3930</v>
      </c>
      <c r="C1361" s="114" t="s">
        <v>289</v>
      </c>
      <c r="D1361" s="115">
        <v>45009</v>
      </c>
      <c r="E1361" s="114">
        <v>2300</v>
      </c>
      <c r="F1361" s="114" t="s">
        <v>290</v>
      </c>
      <c r="G1361" s="204" t="s">
        <v>396</v>
      </c>
      <c r="H1361" s="92">
        <v>45009</v>
      </c>
    </row>
    <row r="1362" spans="1:10">
      <c r="A1362" s="114" t="s">
        <v>73</v>
      </c>
      <c r="B1362" s="207">
        <v>1990</v>
      </c>
      <c r="C1362" t="s">
        <v>356</v>
      </c>
      <c r="D1362" s="115">
        <v>45009</v>
      </c>
      <c r="E1362">
        <v>6000</v>
      </c>
      <c r="F1362" t="s">
        <v>357</v>
      </c>
      <c r="G1362" s="204" t="s">
        <v>396</v>
      </c>
      <c r="H1362" s="92">
        <v>45009</v>
      </c>
    </row>
    <row r="1363" spans="1:10">
      <c r="A1363" s="114" t="s">
        <v>115</v>
      </c>
      <c r="B1363" s="207">
        <v>3931</v>
      </c>
      <c r="C1363" s="114" t="s">
        <v>127</v>
      </c>
      <c r="D1363" s="115">
        <v>45009</v>
      </c>
      <c r="E1363" s="114">
        <v>5600</v>
      </c>
      <c r="F1363" s="114" t="s">
        <v>157</v>
      </c>
      <c r="G1363" s="204" t="s">
        <v>396</v>
      </c>
      <c r="H1363" s="92">
        <v>45009</v>
      </c>
    </row>
    <row r="1364" spans="1:10">
      <c r="A1364" s="114" t="s">
        <v>73</v>
      </c>
      <c r="B1364" s="207">
        <v>1991</v>
      </c>
      <c r="C1364" s="114" t="s">
        <v>96</v>
      </c>
      <c r="D1364" s="115">
        <v>45009</v>
      </c>
      <c r="E1364" s="114">
        <v>3600</v>
      </c>
      <c r="F1364" s="114" t="s">
        <v>112</v>
      </c>
      <c r="G1364" s="204" t="s">
        <v>396</v>
      </c>
      <c r="H1364" s="92">
        <v>45009</v>
      </c>
    </row>
    <row r="1365" spans="1:10">
      <c r="A1365" s="114" t="s">
        <v>115</v>
      </c>
      <c r="B1365" s="207">
        <v>3932</v>
      </c>
      <c r="C1365" s="114" t="s">
        <v>170</v>
      </c>
      <c r="D1365" s="92">
        <v>45044</v>
      </c>
      <c r="E1365">
        <v>3400</v>
      </c>
      <c r="F1365" s="114" t="s">
        <v>161</v>
      </c>
      <c r="G1365" s="204" t="s">
        <v>408</v>
      </c>
      <c r="H1365" s="92">
        <v>45044</v>
      </c>
      <c r="J1365" t="s">
        <v>264</v>
      </c>
    </row>
    <row r="1366" spans="1:10">
      <c r="A1366" s="114" t="s">
        <v>73</v>
      </c>
      <c r="B1366">
        <v>1992</v>
      </c>
      <c r="C1366" s="114" t="s">
        <v>275</v>
      </c>
      <c r="D1366" s="92">
        <v>45044</v>
      </c>
      <c r="E1366">
        <v>5400</v>
      </c>
      <c r="F1366" s="114" t="s">
        <v>89</v>
      </c>
      <c r="G1366" s="204" t="s">
        <v>408</v>
      </c>
      <c r="H1366" s="92">
        <v>45044</v>
      </c>
      <c r="J1366" t="s">
        <v>411</v>
      </c>
    </row>
    <row r="1367" spans="1:10">
      <c r="A1367" s="114" t="s">
        <v>115</v>
      </c>
      <c r="B1367">
        <v>3933</v>
      </c>
      <c r="C1367" s="114" t="s">
        <v>131</v>
      </c>
      <c r="D1367" s="92">
        <v>45044</v>
      </c>
      <c r="E1367">
        <v>1200</v>
      </c>
      <c r="F1367" s="114" t="s">
        <v>142</v>
      </c>
      <c r="G1367" s="204" t="s">
        <v>408</v>
      </c>
      <c r="H1367" s="92">
        <v>45044</v>
      </c>
      <c r="J1367" t="s">
        <v>280</v>
      </c>
    </row>
    <row r="1368" spans="1:10">
      <c r="A1368" s="114" t="s">
        <v>115</v>
      </c>
      <c r="B1368">
        <v>3934</v>
      </c>
      <c r="C1368" s="114" t="s">
        <v>128</v>
      </c>
      <c r="D1368" s="92">
        <v>45044</v>
      </c>
      <c r="E1368">
        <v>12000</v>
      </c>
      <c r="F1368" s="114" t="s">
        <v>142</v>
      </c>
      <c r="G1368" s="204" t="s">
        <v>408</v>
      </c>
      <c r="H1368" s="92">
        <v>45044</v>
      </c>
      <c r="J1368" t="s">
        <v>412</v>
      </c>
    </row>
    <row r="1369" spans="1:10">
      <c r="A1369" s="114" t="s">
        <v>115</v>
      </c>
      <c r="B1369">
        <v>3935</v>
      </c>
      <c r="C1369" s="114" t="s">
        <v>134</v>
      </c>
      <c r="D1369" s="92">
        <v>45044</v>
      </c>
      <c r="E1369">
        <v>3300</v>
      </c>
      <c r="F1369" s="114" t="s">
        <v>135</v>
      </c>
      <c r="G1369" s="204" t="s">
        <v>408</v>
      </c>
      <c r="H1369" s="92">
        <v>45044</v>
      </c>
      <c r="J1369" t="s">
        <v>280</v>
      </c>
    </row>
    <row r="1370" spans="1:10">
      <c r="A1370" s="114" t="s">
        <v>73</v>
      </c>
      <c r="B1370">
        <v>1993</v>
      </c>
      <c r="C1370" s="114" t="s">
        <v>109</v>
      </c>
      <c r="D1370" s="92">
        <v>45044</v>
      </c>
      <c r="E1370">
        <v>2900</v>
      </c>
      <c r="F1370" s="114" t="s">
        <v>91</v>
      </c>
      <c r="G1370" s="204" t="s">
        <v>408</v>
      </c>
      <c r="H1370" s="92">
        <v>45044</v>
      </c>
      <c r="J1370" t="s">
        <v>280</v>
      </c>
    </row>
    <row r="1371" spans="1:10">
      <c r="A1371" s="114" t="s">
        <v>115</v>
      </c>
      <c r="B1371">
        <v>3936</v>
      </c>
      <c r="C1371" s="114" t="s">
        <v>147</v>
      </c>
      <c r="D1371" s="92">
        <v>45044</v>
      </c>
      <c r="E1371">
        <v>5800</v>
      </c>
      <c r="F1371" s="114" t="s">
        <v>89</v>
      </c>
      <c r="G1371" s="204" t="s">
        <v>408</v>
      </c>
      <c r="H1371" s="92">
        <v>45044</v>
      </c>
      <c r="J1371" t="s">
        <v>411</v>
      </c>
    </row>
    <row r="1372" spans="1:10">
      <c r="A1372" s="114" t="s">
        <v>115</v>
      </c>
      <c r="B1372">
        <v>3937</v>
      </c>
      <c r="C1372" s="114" t="s">
        <v>130</v>
      </c>
      <c r="D1372" s="92">
        <v>45044</v>
      </c>
      <c r="E1372">
        <v>1500</v>
      </c>
      <c r="F1372" s="114" t="s">
        <v>142</v>
      </c>
      <c r="G1372" s="204" t="s">
        <v>408</v>
      </c>
      <c r="H1372" s="92">
        <v>45044</v>
      </c>
      <c r="J1372" t="s">
        <v>414</v>
      </c>
    </row>
    <row r="1373" spans="1:10">
      <c r="A1373" s="114" t="s">
        <v>115</v>
      </c>
      <c r="B1373">
        <v>3938</v>
      </c>
      <c r="C1373" s="160" t="s">
        <v>152</v>
      </c>
      <c r="D1373" s="92">
        <v>45044</v>
      </c>
      <c r="E1373">
        <v>3600</v>
      </c>
      <c r="F1373" s="114" t="s">
        <v>164</v>
      </c>
      <c r="G1373" s="204" t="s">
        <v>408</v>
      </c>
      <c r="H1373" s="92">
        <v>45044</v>
      </c>
      <c r="J1373" t="s">
        <v>414</v>
      </c>
    </row>
    <row r="1374" spans="1:10">
      <c r="A1374" s="114" t="s">
        <v>73</v>
      </c>
      <c r="B1374">
        <v>1994</v>
      </c>
      <c r="C1374" s="114" t="s">
        <v>87</v>
      </c>
      <c r="D1374" s="92">
        <v>45044</v>
      </c>
      <c r="E1374">
        <v>1100</v>
      </c>
      <c r="F1374" s="114" t="s">
        <v>91</v>
      </c>
      <c r="G1374" s="204" t="s">
        <v>408</v>
      </c>
      <c r="H1374" s="92">
        <v>45044</v>
      </c>
      <c r="J1374" t="s">
        <v>414</v>
      </c>
    </row>
    <row r="1375" spans="1:10">
      <c r="A1375" s="114" t="s">
        <v>115</v>
      </c>
      <c r="B1375">
        <v>3939</v>
      </c>
      <c r="C1375" s="114" t="s">
        <v>129</v>
      </c>
      <c r="D1375" s="92">
        <v>45044</v>
      </c>
      <c r="E1375">
        <v>500</v>
      </c>
      <c r="F1375" s="114" t="s">
        <v>142</v>
      </c>
      <c r="G1375" s="204" t="s">
        <v>408</v>
      </c>
      <c r="H1375" s="92">
        <v>45044</v>
      </c>
      <c r="J1375" t="s">
        <v>414</v>
      </c>
    </row>
    <row r="1376" spans="1:10">
      <c r="A1376" s="114" t="s">
        <v>73</v>
      </c>
      <c r="B1376">
        <v>1995</v>
      </c>
      <c r="C1376" s="114" t="s">
        <v>292</v>
      </c>
      <c r="D1376" s="92">
        <v>45044</v>
      </c>
      <c r="E1376">
        <v>2900</v>
      </c>
      <c r="F1376" s="114" t="s">
        <v>107</v>
      </c>
      <c r="G1376" s="204" t="s">
        <v>408</v>
      </c>
      <c r="H1376" s="92">
        <v>45044</v>
      </c>
      <c r="J1376" t="s">
        <v>280</v>
      </c>
    </row>
    <row r="1377" spans="1:10">
      <c r="A1377" s="114" t="s">
        <v>115</v>
      </c>
      <c r="B1377">
        <v>3940</v>
      </c>
      <c r="C1377" s="114" t="s">
        <v>132</v>
      </c>
      <c r="D1377" s="92">
        <v>45044</v>
      </c>
      <c r="E1377">
        <v>4000</v>
      </c>
      <c r="F1377" s="114" t="s">
        <v>135</v>
      </c>
      <c r="G1377" s="204" t="s">
        <v>408</v>
      </c>
      <c r="H1377" s="92">
        <v>45044</v>
      </c>
      <c r="J1377" t="s">
        <v>280</v>
      </c>
    </row>
    <row r="1378" spans="1:10">
      <c r="A1378" s="114" t="s">
        <v>115</v>
      </c>
      <c r="B1378">
        <v>3941</v>
      </c>
      <c r="C1378" s="114" t="s">
        <v>141</v>
      </c>
      <c r="D1378" s="92">
        <v>45044</v>
      </c>
      <c r="E1378">
        <v>2100</v>
      </c>
      <c r="F1378" s="114" t="s">
        <v>142</v>
      </c>
      <c r="G1378" s="204" t="s">
        <v>408</v>
      </c>
      <c r="H1378" s="92">
        <v>45044</v>
      </c>
      <c r="J1378" t="s">
        <v>280</v>
      </c>
    </row>
    <row r="1379" spans="1:10">
      <c r="A1379" s="114" t="s">
        <v>73</v>
      </c>
      <c r="B1379">
        <v>1997</v>
      </c>
      <c r="C1379" s="114" t="s">
        <v>321</v>
      </c>
      <c r="D1379" s="92">
        <v>45044</v>
      </c>
      <c r="E1379">
        <v>2100</v>
      </c>
      <c r="F1379" s="114" t="s">
        <v>8</v>
      </c>
      <c r="G1379" s="204" t="s">
        <v>408</v>
      </c>
      <c r="H1379" s="92">
        <v>45044</v>
      </c>
      <c r="J1379" t="s">
        <v>280</v>
      </c>
    </row>
    <row r="1380" spans="1:10">
      <c r="A1380" s="114" t="s">
        <v>73</v>
      </c>
      <c r="B1380">
        <v>1998</v>
      </c>
      <c r="C1380" s="87" t="s">
        <v>207</v>
      </c>
      <c r="D1380" s="92">
        <v>45044</v>
      </c>
      <c r="E1380">
        <v>9000</v>
      </c>
      <c r="F1380" s="87" t="s">
        <v>93</v>
      </c>
      <c r="G1380" s="204" t="s">
        <v>408</v>
      </c>
      <c r="H1380" s="92">
        <v>45044</v>
      </c>
      <c r="J1380" t="s">
        <v>414</v>
      </c>
    </row>
    <row r="1381" spans="1:10">
      <c r="A1381" s="114" t="s">
        <v>115</v>
      </c>
      <c r="B1381">
        <v>3942</v>
      </c>
      <c r="C1381" s="114" t="s">
        <v>137</v>
      </c>
      <c r="D1381" s="92">
        <v>45045</v>
      </c>
      <c r="E1381">
        <v>4500</v>
      </c>
      <c r="F1381" s="114" t="s">
        <v>376</v>
      </c>
      <c r="G1381" s="204" t="s">
        <v>408</v>
      </c>
      <c r="H1381" s="92">
        <v>45045</v>
      </c>
      <c r="J1381" t="s">
        <v>413</v>
      </c>
    </row>
    <row r="1382" spans="1:10">
      <c r="A1382" s="114" t="s">
        <v>115</v>
      </c>
      <c r="B1382">
        <v>3943</v>
      </c>
      <c r="C1382" s="114" t="s">
        <v>149</v>
      </c>
      <c r="D1382" s="92">
        <v>45045</v>
      </c>
      <c r="E1382">
        <v>1500</v>
      </c>
      <c r="F1382" s="114" t="s">
        <v>8</v>
      </c>
      <c r="G1382" s="204" t="s">
        <v>408</v>
      </c>
      <c r="H1382" s="92">
        <v>45045</v>
      </c>
      <c r="J1382" t="s">
        <v>414</v>
      </c>
    </row>
    <row r="1383" spans="1:10">
      <c r="A1383" s="114" t="s">
        <v>73</v>
      </c>
      <c r="B1383">
        <v>2000</v>
      </c>
      <c r="C1383" s="114" t="s">
        <v>99</v>
      </c>
      <c r="D1383" s="92">
        <v>45045</v>
      </c>
      <c r="E1383">
        <v>3800</v>
      </c>
      <c r="F1383" s="114" t="s">
        <v>112</v>
      </c>
      <c r="G1383" s="204" t="s">
        <v>408</v>
      </c>
      <c r="H1383" s="92">
        <v>45045</v>
      </c>
      <c r="J1383" t="s">
        <v>411</v>
      </c>
    </row>
    <row r="1384" spans="1:10">
      <c r="A1384" s="114" t="s">
        <v>73</v>
      </c>
      <c r="B1384">
        <v>2001</v>
      </c>
      <c r="C1384" s="114" t="s">
        <v>80</v>
      </c>
      <c r="D1384" s="92">
        <v>45045</v>
      </c>
      <c r="E1384">
        <v>1600</v>
      </c>
      <c r="F1384" s="114" t="s">
        <v>3</v>
      </c>
      <c r="G1384" s="204" t="s">
        <v>408</v>
      </c>
      <c r="H1384" s="92">
        <v>45045</v>
      </c>
      <c r="J1384" t="s">
        <v>414</v>
      </c>
    </row>
    <row r="1385" spans="1:10">
      <c r="A1385" s="114" t="s">
        <v>73</v>
      </c>
      <c r="B1385">
        <v>2002</v>
      </c>
      <c r="C1385" s="114" t="s">
        <v>96</v>
      </c>
      <c r="D1385" s="92">
        <v>45045</v>
      </c>
      <c r="E1385">
        <v>3800</v>
      </c>
      <c r="F1385" s="114" t="s">
        <v>112</v>
      </c>
      <c r="G1385" s="204" t="s">
        <v>408</v>
      </c>
      <c r="H1385" s="92">
        <v>45045</v>
      </c>
      <c r="J1385" t="s">
        <v>411</v>
      </c>
    </row>
    <row r="1386" spans="1:10">
      <c r="A1386" s="114" t="s">
        <v>73</v>
      </c>
      <c r="B1386">
        <v>1996</v>
      </c>
      <c r="C1386" s="114" t="s">
        <v>378</v>
      </c>
      <c r="D1386" s="92">
        <v>45062</v>
      </c>
      <c r="E1386">
        <v>2500</v>
      </c>
      <c r="F1386" s="114" t="s">
        <v>8</v>
      </c>
      <c r="G1386" s="204" t="s">
        <v>408</v>
      </c>
      <c r="H1386" s="92">
        <v>45062</v>
      </c>
      <c r="J1386" t="s">
        <v>414</v>
      </c>
    </row>
    <row r="1387" spans="1:10">
      <c r="A1387" s="114" t="s">
        <v>115</v>
      </c>
      <c r="B1387">
        <v>3944</v>
      </c>
      <c r="C1387" s="114" t="s">
        <v>148</v>
      </c>
      <c r="D1387" s="92">
        <v>45062</v>
      </c>
      <c r="E1387">
        <v>4200</v>
      </c>
      <c r="F1387" s="114" t="s">
        <v>166</v>
      </c>
      <c r="G1387" s="204" t="s">
        <v>408</v>
      </c>
      <c r="H1387" s="92">
        <v>45062</v>
      </c>
      <c r="J1387" t="s">
        <v>280</v>
      </c>
    </row>
    <row r="1388" spans="1:10">
      <c r="A1388" s="114" t="s">
        <v>115</v>
      </c>
      <c r="B1388">
        <v>3945</v>
      </c>
      <c r="C1388" s="114" t="s">
        <v>138</v>
      </c>
      <c r="D1388" s="92">
        <v>45062</v>
      </c>
      <c r="E1388">
        <v>2900</v>
      </c>
      <c r="F1388" s="114" t="s">
        <v>135</v>
      </c>
      <c r="G1388" s="204" t="s">
        <v>408</v>
      </c>
      <c r="H1388" s="92">
        <v>45062</v>
      </c>
      <c r="J1388" t="s">
        <v>280</v>
      </c>
    </row>
    <row r="1389" spans="1:10">
      <c r="A1389" s="114" t="s">
        <v>73</v>
      </c>
      <c r="B1389">
        <v>2004</v>
      </c>
      <c r="C1389" s="114" t="s">
        <v>79</v>
      </c>
      <c r="D1389" s="92">
        <v>45045</v>
      </c>
      <c r="E1389">
        <v>1600</v>
      </c>
      <c r="F1389" s="114" t="s">
        <v>3</v>
      </c>
      <c r="G1389" s="204" t="s">
        <v>408</v>
      </c>
      <c r="H1389" s="92">
        <v>45045</v>
      </c>
      <c r="J1389" t="s">
        <v>414</v>
      </c>
    </row>
    <row r="1390" spans="1:10">
      <c r="A1390" s="114" t="s">
        <v>73</v>
      </c>
      <c r="B1390">
        <v>2003</v>
      </c>
      <c r="C1390" s="114" t="s">
        <v>106</v>
      </c>
      <c r="D1390" s="92">
        <v>45045</v>
      </c>
      <c r="E1390">
        <v>2900</v>
      </c>
      <c r="F1390" s="114" t="s">
        <v>107</v>
      </c>
      <c r="G1390" s="204" t="s">
        <v>408</v>
      </c>
      <c r="H1390" s="92">
        <v>45072</v>
      </c>
      <c r="J1390" t="s">
        <v>280</v>
      </c>
    </row>
    <row r="1391" spans="1:10">
      <c r="A1391" s="114" t="s">
        <v>115</v>
      </c>
      <c r="B1391">
        <v>3946</v>
      </c>
      <c r="C1391" s="114" t="s">
        <v>237</v>
      </c>
      <c r="D1391" s="92">
        <v>45045</v>
      </c>
      <c r="E1391">
        <v>8500</v>
      </c>
      <c r="F1391" s="114" t="s">
        <v>238</v>
      </c>
      <c r="G1391" s="204" t="s">
        <v>408</v>
      </c>
      <c r="H1391" s="92">
        <v>45045</v>
      </c>
      <c r="J1391" t="s">
        <v>414</v>
      </c>
    </row>
    <row r="1392" spans="1:10">
      <c r="A1392" s="114" t="s">
        <v>115</v>
      </c>
      <c r="B1392">
        <v>3947</v>
      </c>
      <c r="C1392" s="114" t="s">
        <v>146</v>
      </c>
      <c r="D1392" s="92">
        <v>45045</v>
      </c>
      <c r="E1392">
        <v>2000</v>
      </c>
      <c r="F1392" s="114" t="s">
        <v>8</v>
      </c>
      <c r="G1392" s="204" t="s">
        <v>408</v>
      </c>
      <c r="H1392" s="92">
        <v>45045</v>
      </c>
      <c r="J1392" t="s">
        <v>414</v>
      </c>
    </row>
    <row r="1393" spans="1:10">
      <c r="A1393" s="114" t="s">
        <v>115</v>
      </c>
      <c r="B1393">
        <v>3948</v>
      </c>
      <c r="C1393" s="114" t="s">
        <v>315</v>
      </c>
      <c r="D1393" s="92">
        <v>45045</v>
      </c>
      <c r="E1393">
        <v>3100</v>
      </c>
      <c r="F1393" s="114" t="s">
        <v>157</v>
      </c>
      <c r="G1393" s="204" t="s">
        <v>408</v>
      </c>
      <c r="H1393" s="92">
        <v>45045</v>
      </c>
      <c r="J1393" t="s">
        <v>280</v>
      </c>
    </row>
    <row r="1394" spans="1:10">
      <c r="A1394" s="114" t="s">
        <v>115</v>
      </c>
      <c r="B1394">
        <v>3949</v>
      </c>
      <c r="C1394" s="114" t="s">
        <v>344</v>
      </c>
      <c r="D1394" s="92">
        <v>45045</v>
      </c>
      <c r="E1394">
        <v>3500</v>
      </c>
      <c r="F1394" s="114" t="s">
        <v>8</v>
      </c>
      <c r="G1394" s="204" t="s">
        <v>408</v>
      </c>
      <c r="H1394" s="92">
        <v>45045</v>
      </c>
      <c r="J1394" t="s">
        <v>414</v>
      </c>
    </row>
    <row r="1395" spans="1:10">
      <c r="A1395" s="114" t="s">
        <v>73</v>
      </c>
      <c r="B1395">
        <v>2005</v>
      </c>
      <c r="C1395" s="114" t="s">
        <v>110</v>
      </c>
      <c r="D1395" s="92">
        <v>45045</v>
      </c>
      <c r="E1395">
        <v>2900</v>
      </c>
      <c r="F1395" s="114" t="s">
        <v>107</v>
      </c>
      <c r="G1395" s="204" t="s">
        <v>408</v>
      </c>
      <c r="H1395" s="92">
        <v>45045</v>
      </c>
      <c r="J1395" t="s">
        <v>280</v>
      </c>
    </row>
    <row r="1396" spans="1:10">
      <c r="A1396" s="114" t="s">
        <v>115</v>
      </c>
      <c r="B1396">
        <v>3950</v>
      </c>
      <c r="C1396" s="114" t="s">
        <v>289</v>
      </c>
      <c r="D1396" s="92">
        <v>45045</v>
      </c>
      <c r="E1396">
        <v>2300</v>
      </c>
      <c r="F1396" s="114" t="s">
        <v>290</v>
      </c>
      <c r="G1396" s="204" t="s">
        <v>408</v>
      </c>
      <c r="H1396" s="92">
        <v>45045</v>
      </c>
      <c r="J1396" t="s">
        <v>414</v>
      </c>
    </row>
    <row r="1397" spans="1:10">
      <c r="A1397" s="114" t="s">
        <v>73</v>
      </c>
      <c r="B1397">
        <v>2006</v>
      </c>
      <c r="C1397" t="s">
        <v>356</v>
      </c>
      <c r="D1397" s="92">
        <v>45045</v>
      </c>
      <c r="E1397">
        <v>6000</v>
      </c>
      <c r="F1397" t="s">
        <v>357</v>
      </c>
      <c r="G1397" s="204" t="s">
        <v>408</v>
      </c>
      <c r="H1397" s="92">
        <v>45045</v>
      </c>
    </row>
    <row r="1398" spans="1:10">
      <c r="A1398" s="114" t="s">
        <v>115</v>
      </c>
      <c r="B1398">
        <v>3951</v>
      </c>
      <c r="C1398" s="114" t="s">
        <v>127</v>
      </c>
      <c r="D1398" s="92">
        <v>45045</v>
      </c>
      <c r="E1398">
        <v>5800</v>
      </c>
      <c r="F1398" s="114" t="s">
        <v>157</v>
      </c>
      <c r="G1398" s="204" t="s">
        <v>408</v>
      </c>
      <c r="H1398" s="92">
        <v>45045</v>
      </c>
      <c r="J1398" t="s">
        <v>411</v>
      </c>
    </row>
    <row r="1399" spans="1:10">
      <c r="A1399" s="114" t="s">
        <v>115</v>
      </c>
      <c r="B1399" s="207">
        <v>3952</v>
      </c>
      <c r="C1399" s="114" t="s">
        <v>170</v>
      </c>
      <c r="D1399" s="92">
        <v>45072</v>
      </c>
      <c r="E1399">
        <v>3400</v>
      </c>
      <c r="F1399" s="114" t="s">
        <v>161</v>
      </c>
      <c r="G1399" s="204" t="s">
        <v>415</v>
      </c>
      <c r="H1399" s="92">
        <v>45072</v>
      </c>
    </row>
    <row r="1400" spans="1:10">
      <c r="A1400" s="114" t="s">
        <v>73</v>
      </c>
      <c r="B1400">
        <v>2007</v>
      </c>
      <c r="C1400" s="114" t="s">
        <v>275</v>
      </c>
      <c r="D1400" s="92">
        <v>45072</v>
      </c>
      <c r="E1400">
        <v>5400</v>
      </c>
      <c r="F1400" s="114" t="s">
        <v>89</v>
      </c>
      <c r="G1400" s="204" t="s">
        <v>415</v>
      </c>
      <c r="H1400" s="92">
        <v>45072</v>
      </c>
    </row>
    <row r="1401" spans="1:10">
      <c r="A1401" s="114" t="s">
        <v>115</v>
      </c>
      <c r="B1401">
        <v>3953</v>
      </c>
      <c r="C1401" s="114" t="s">
        <v>131</v>
      </c>
      <c r="D1401" s="92">
        <v>45072</v>
      </c>
      <c r="E1401">
        <v>1200</v>
      </c>
      <c r="F1401" s="114" t="s">
        <v>142</v>
      </c>
      <c r="G1401" s="204" t="s">
        <v>415</v>
      </c>
      <c r="H1401" s="92">
        <v>45075</v>
      </c>
    </row>
    <row r="1402" spans="1:10">
      <c r="A1402" s="114" t="s">
        <v>115</v>
      </c>
      <c r="B1402">
        <v>3954</v>
      </c>
      <c r="C1402" s="114" t="s">
        <v>128</v>
      </c>
      <c r="D1402" s="92">
        <v>45072</v>
      </c>
      <c r="E1402">
        <v>12000</v>
      </c>
      <c r="F1402" s="114" t="s">
        <v>142</v>
      </c>
      <c r="G1402" s="204" t="s">
        <v>415</v>
      </c>
      <c r="H1402" s="92">
        <v>45075</v>
      </c>
    </row>
    <row r="1403" spans="1:10">
      <c r="A1403" s="114" t="s">
        <v>115</v>
      </c>
      <c r="B1403">
        <v>3955</v>
      </c>
      <c r="C1403" s="114" t="s">
        <v>134</v>
      </c>
      <c r="D1403" s="92">
        <v>45075</v>
      </c>
      <c r="E1403">
        <v>3300</v>
      </c>
      <c r="F1403" s="114" t="s">
        <v>135</v>
      </c>
      <c r="G1403" s="204" t="s">
        <v>415</v>
      </c>
      <c r="H1403" s="92">
        <v>45075</v>
      </c>
    </row>
    <row r="1404" spans="1:10">
      <c r="A1404" s="114" t="s">
        <v>73</v>
      </c>
      <c r="B1404">
        <v>2008</v>
      </c>
      <c r="C1404" s="114" t="s">
        <v>109</v>
      </c>
      <c r="D1404" s="92">
        <v>45075</v>
      </c>
      <c r="E1404">
        <v>2900</v>
      </c>
      <c r="F1404" s="114" t="s">
        <v>91</v>
      </c>
      <c r="G1404" s="204" t="s">
        <v>415</v>
      </c>
      <c r="H1404" s="92">
        <v>45075</v>
      </c>
    </row>
    <row r="1405" spans="1:10">
      <c r="A1405" s="114" t="s">
        <v>115</v>
      </c>
      <c r="B1405">
        <v>3956</v>
      </c>
      <c r="C1405" s="114" t="s">
        <v>147</v>
      </c>
      <c r="D1405" s="92">
        <v>45075</v>
      </c>
      <c r="E1405">
        <v>5800</v>
      </c>
      <c r="F1405" s="114" t="s">
        <v>89</v>
      </c>
      <c r="G1405" s="204" t="s">
        <v>415</v>
      </c>
      <c r="H1405" s="92">
        <v>45075</v>
      </c>
    </row>
    <row r="1406" spans="1:10">
      <c r="A1406" s="114" t="s">
        <v>115</v>
      </c>
      <c r="B1406">
        <v>3957</v>
      </c>
      <c r="C1406" s="114" t="s">
        <v>130</v>
      </c>
      <c r="D1406" s="92">
        <v>45072</v>
      </c>
      <c r="E1406">
        <v>1500</v>
      </c>
      <c r="F1406" s="114" t="s">
        <v>142</v>
      </c>
      <c r="G1406" s="204" t="s">
        <v>415</v>
      </c>
      <c r="H1406" s="92">
        <v>45075</v>
      </c>
    </row>
    <row r="1407" spans="1:10">
      <c r="A1407" s="114" t="s">
        <v>115</v>
      </c>
      <c r="B1407">
        <v>3958</v>
      </c>
      <c r="C1407" s="160" t="s">
        <v>152</v>
      </c>
      <c r="D1407" s="92">
        <v>45075</v>
      </c>
      <c r="E1407">
        <v>3600</v>
      </c>
      <c r="F1407" s="114" t="s">
        <v>164</v>
      </c>
      <c r="G1407" s="204" t="s">
        <v>415</v>
      </c>
      <c r="H1407" s="92">
        <v>45075</v>
      </c>
    </row>
    <row r="1408" spans="1:10">
      <c r="A1408" s="114" t="s">
        <v>73</v>
      </c>
      <c r="B1408">
        <v>2009</v>
      </c>
      <c r="C1408" s="114" t="s">
        <v>87</v>
      </c>
      <c r="D1408" s="92">
        <v>45075</v>
      </c>
      <c r="E1408">
        <v>1100</v>
      </c>
      <c r="F1408" s="114" t="s">
        <v>91</v>
      </c>
      <c r="G1408" s="204" t="s">
        <v>415</v>
      </c>
      <c r="H1408" s="92">
        <v>45075</v>
      </c>
    </row>
    <row r="1409" spans="1:8">
      <c r="A1409" s="114" t="s">
        <v>115</v>
      </c>
      <c r="B1409">
        <v>3959</v>
      </c>
      <c r="C1409" s="114" t="s">
        <v>129</v>
      </c>
      <c r="D1409" s="92">
        <v>45072</v>
      </c>
      <c r="E1409">
        <v>500</v>
      </c>
      <c r="F1409" s="114" t="s">
        <v>142</v>
      </c>
      <c r="G1409" s="204" t="s">
        <v>415</v>
      </c>
      <c r="H1409" s="92">
        <v>45075</v>
      </c>
    </row>
    <row r="1410" spans="1:8">
      <c r="A1410" s="114" t="s">
        <v>73</v>
      </c>
      <c r="B1410">
        <v>2010</v>
      </c>
      <c r="C1410" s="114" t="s">
        <v>292</v>
      </c>
      <c r="D1410" s="92">
        <v>45075</v>
      </c>
      <c r="E1410">
        <v>2900</v>
      </c>
      <c r="F1410" s="114" t="s">
        <v>107</v>
      </c>
      <c r="G1410" s="204" t="s">
        <v>415</v>
      </c>
      <c r="H1410" s="92">
        <v>45075</v>
      </c>
    </row>
    <row r="1411" spans="1:8">
      <c r="A1411" s="114" t="s">
        <v>115</v>
      </c>
      <c r="B1411">
        <v>3960</v>
      </c>
      <c r="C1411" s="114" t="s">
        <v>132</v>
      </c>
      <c r="D1411" s="92">
        <v>45075</v>
      </c>
      <c r="E1411">
        <v>4000</v>
      </c>
      <c r="F1411" s="114" t="s">
        <v>135</v>
      </c>
      <c r="G1411" s="204" t="s">
        <v>415</v>
      </c>
      <c r="H1411" s="92">
        <v>45075</v>
      </c>
    </row>
    <row r="1412" spans="1:8">
      <c r="A1412" s="114" t="s">
        <v>115</v>
      </c>
      <c r="B1412">
        <v>3961</v>
      </c>
      <c r="C1412" s="114" t="s">
        <v>141</v>
      </c>
      <c r="D1412" s="92">
        <v>45075</v>
      </c>
      <c r="E1412">
        <v>2100</v>
      </c>
      <c r="F1412" s="114" t="s">
        <v>142</v>
      </c>
      <c r="G1412" s="204" t="s">
        <v>415</v>
      </c>
      <c r="H1412" s="92">
        <v>45075</v>
      </c>
    </row>
    <row r="1413" spans="1:8">
      <c r="A1413" s="114" t="s">
        <v>73</v>
      </c>
      <c r="B1413">
        <v>2011</v>
      </c>
      <c r="C1413" s="114" t="s">
        <v>321</v>
      </c>
      <c r="D1413" s="92">
        <v>45075</v>
      </c>
      <c r="E1413">
        <v>2100</v>
      </c>
      <c r="F1413" s="114" t="s">
        <v>8</v>
      </c>
      <c r="G1413" s="204" t="s">
        <v>415</v>
      </c>
      <c r="H1413" s="92">
        <v>45075</v>
      </c>
    </row>
    <row r="1414" spans="1:8">
      <c r="A1414" s="114" t="s">
        <v>73</v>
      </c>
      <c r="B1414">
        <v>2012</v>
      </c>
      <c r="C1414" s="87" t="s">
        <v>207</v>
      </c>
      <c r="D1414" s="92">
        <v>45075</v>
      </c>
      <c r="E1414">
        <v>9000</v>
      </c>
      <c r="F1414" s="87" t="s">
        <v>93</v>
      </c>
      <c r="G1414" s="204" t="s">
        <v>415</v>
      </c>
      <c r="H1414" s="92">
        <v>45075</v>
      </c>
    </row>
    <row r="1415" spans="1:8">
      <c r="A1415" s="114" t="s">
        <v>115</v>
      </c>
      <c r="B1415">
        <v>3962</v>
      </c>
      <c r="C1415" s="114" t="s">
        <v>137</v>
      </c>
      <c r="D1415" s="92">
        <v>45075</v>
      </c>
      <c r="E1415">
        <v>4500</v>
      </c>
      <c r="F1415" s="114" t="s">
        <v>376</v>
      </c>
      <c r="G1415" s="204" t="s">
        <v>415</v>
      </c>
      <c r="H1415" s="92">
        <v>45075</v>
      </c>
    </row>
    <row r="1416" spans="1:8">
      <c r="A1416" s="114" t="s">
        <v>115</v>
      </c>
      <c r="B1416">
        <v>3963</v>
      </c>
      <c r="C1416" s="114" t="s">
        <v>149</v>
      </c>
      <c r="D1416" s="92">
        <v>45075</v>
      </c>
      <c r="E1416">
        <v>1500</v>
      </c>
      <c r="F1416" s="114" t="s">
        <v>8</v>
      </c>
      <c r="G1416" s="204" t="s">
        <v>415</v>
      </c>
      <c r="H1416" s="92">
        <v>45075</v>
      </c>
    </row>
    <row r="1417" spans="1:8">
      <c r="A1417" s="114" t="s">
        <v>73</v>
      </c>
      <c r="B1417">
        <v>2013</v>
      </c>
      <c r="C1417" s="114" t="s">
        <v>99</v>
      </c>
      <c r="D1417" s="92">
        <v>45075</v>
      </c>
      <c r="E1417">
        <v>3800</v>
      </c>
      <c r="F1417" s="114" t="s">
        <v>112</v>
      </c>
      <c r="G1417" s="204" t="s">
        <v>415</v>
      </c>
      <c r="H1417" s="92">
        <v>45075</v>
      </c>
    </row>
    <row r="1418" spans="1:8">
      <c r="A1418" s="114" t="s">
        <v>73</v>
      </c>
      <c r="B1418">
        <v>2014</v>
      </c>
      <c r="C1418" s="114" t="s">
        <v>80</v>
      </c>
      <c r="D1418" s="92">
        <v>45075</v>
      </c>
      <c r="E1418">
        <v>1600</v>
      </c>
      <c r="F1418" s="114" t="s">
        <v>3</v>
      </c>
      <c r="G1418" s="204" t="s">
        <v>415</v>
      </c>
      <c r="H1418" s="92">
        <v>45075</v>
      </c>
    </row>
    <row r="1419" spans="1:8">
      <c r="A1419" s="114" t="s">
        <v>73</v>
      </c>
      <c r="B1419">
        <v>2015</v>
      </c>
      <c r="C1419" s="114" t="s">
        <v>96</v>
      </c>
      <c r="D1419" s="92">
        <v>45075</v>
      </c>
      <c r="E1419">
        <v>3800</v>
      </c>
      <c r="F1419" s="114" t="s">
        <v>112</v>
      </c>
      <c r="G1419" s="204" t="s">
        <v>415</v>
      </c>
      <c r="H1419" s="92">
        <v>45075</v>
      </c>
    </row>
    <row r="1420" spans="1:8">
      <c r="A1420" s="114" t="s">
        <v>73</v>
      </c>
      <c r="B1420">
        <v>2016</v>
      </c>
      <c r="C1420" s="114" t="s">
        <v>378</v>
      </c>
      <c r="D1420" s="92">
        <v>45075</v>
      </c>
      <c r="E1420">
        <v>2500</v>
      </c>
      <c r="F1420" s="114" t="s">
        <v>8</v>
      </c>
      <c r="G1420" s="204" t="s">
        <v>415</v>
      </c>
      <c r="H1420" s="92">
        <v>45075</v>
      </c>
    </row>
    <row r="1421" spans="1:8">
      <c r="A1421" s="114" t="s">
        <v>115</v>
      </c>
      <c r="B1421">
        <v>3964</v>
      </c>
      <c r="C1421" s="114" t="s">
        <v>148</v>
      </c>
      <c r="D1421" s="92">
        <v>45075</v>
      </c>
      <c r="E1421">
        <v>4300</v>
      </c>
      <c r="F1421" s="114" t="s">
        <v>166</v>
      </c>
      <c r="G1421" s="204" t="s">
        <v>415</v>
      </c>
      <c r="H1421" s="92">
        <v>45075</v>
      </c>
    </row>
    <row r="1422" spans="1:8">
      <c r="A1422" s="114" t="s">
        <v>115</v>
      </c>
      <c r="B1422">
        <v>3965</v>
      </c>
      <c r="C1422" s="114" t="s">
        <v>138</v>
      </c>
      <c r="D1422" s="92">
        <v>45075</v>
      </c>
      <c r="E1422">
        <v>2900</v>
      </c>
      <c r="F1422" s="114" t="s">
        <v>135</v>
      </c>
      <c r="G1422" s="204" t="s">
        <v>415</v>
      </c>
      <c r="H1422" s="92">
        <v>45075</v>
      </c>
    </row>
    <row r="1423" spans="1:8">
      <c r="A1423" s="114" t="s">
        <v>73</v>
      </c>
      <c r="B1423">
        <v>2017</v>
      </c>
      <c r="C1423" s="114" t="s">
        <v>79</v>
      </c>
      <c r="D1423" s="92">
        <v>45075</v>
      </c>
      <c r="E1423">
        <v>1600</v>
      </c>
      <c r="F1423" s="114" t="s">
        <v>3</v>
      </c>
      <c r="G1423" s="204" t="s">
        <v>415</v>
      </c>
      <c r="H1423" s="92">
        <v>45075</v>
      </c>
    </row>
    <row r="1424" spans="1:8">
      <c r="A1424" s="114" t="s">
        <v>73</v>
      </c>
      <c r="B1424">
        <v>2018</v>
      </c>
      <c r="C1424" s="114" t="s">
        <v>106</v>
      </c>
      <c r="D1424" s="92">
        <v>45072</v>
      </c>
      <c r="E1424">
        <v>2900</v>
      </c>
      <c r="F1424" s="114" t="s">
        <v>107</v>
      </c>
      <c r="G1424" s="204" t="s">
        <v>415</v>
      </c>
      <c r="H1424" s="92">
        <v>45072</v>
      </c>
    </row>
    <row r="1425" spans="1:10">
      <c r="A1425" s="114" t="s">
        <v>115</v>
      </c>
      <c r="B1425">
        <v>3966</v>
      </c>
      <c r="C1425" s="114" t="s">
        <v>237</v>
      </c>
      <c r="D1425" s="92">
        <v>45075</v>
      </c>
      <c r="E1425">
        <v>8500</v>
      </c>
      <c r="F1425" s="114" t="s">
        <v>238</v>
      </c>
      <c r="G1425" s="204" t="s">
        <v>415</v>
      </c>
      <c r="H1425" s="92">
        <v>45075</v>
      </c>
    </row>
    <row r="1426" spans="1:10">
      <c r="A1426" s="114" t="s">
        <v>115</v>
      </c>
      <c r="B1426">
        <v>3967</v>
      </c>
      <c r="C1426" s="114" t="s">
        <v>146</v>
      </c>
      <c r="D1426" s="92">
        <v>45075</v>
      </c>
      <c r="E1426">
        <v>2000</v>
      </c>
      <c r="F1426" s="114" t="s">
        <v>8</v>
      </c>
      <c r="G1426" s="204" t="s">
        <v>415</v>
      </c>
      <c r="H1426" s="92">
        <v>45075</v>
      </c>
    </row>
    <row r="1427" spans="1:10">
      <c r="A1427" s="114" t="s">
        <v>115</v>
      </c>
      <c r="B1427">
        <v>3968</v>
      </c>
      <c r="C1427" s="114" t="s">
        <v>315</v>
      </c>
      <c r="D1427" s="92">
        <v>45075</v>
      </c>
      <c r="E1427">
        <v>3100</v>
      </c>
      <c r="F1427" s="114" t="s">
        <v>157</v>
      </c>
      <c r="G1427" s="204" t="s">
        <v>415</v>
      </c>
      <c r="H1427" s="92">
        <v>45075</v>
      </c>
    </row>
    <row r="1428" spans="1:10">
      <c r="A1428" s="114" t="s">
        <v>115</v>
      </c>
      <c r="B1428">
        <v>3969</v>
      </c>
      <c r="C1428" s="114" t="s">
        <v>344</v>
      </c>
      <c r="D1428" s="92">
        <v>45075</v>
      </c>
      <c r="E1428">
        <v>3500</v>
      </c>
      <c r="F1428" s="114" t="s">
        <v>8</v>
      </c>
      <c r="G1428" s="204" t="s">
        <v>415</v>
      </c>
      <c r="H1428" s="92">
        <v>45075</v>
      </c>
    </row>
    <row r="1429" spans="1:10">
      <c r="A1429" s="114" t="s">
        <v>73</v>
      </c>
      <c r="B1429">
        <v>2019</v>
      </c>
      <c r="C1429" s="114" t="s">
        <v>110</v>
      </c>
      <c r="D1429" s="92">
        <v>45075</v>
      </c>
      <c r="E1429">
        <v>2900</v>
      </c>
      <c r="F1429" s="114" t="s">
        <v>107</v>
      </c>
      <c r="G1429" s="204" t="s">
        <v>415</v>
      </c>
      <c r="H1429" s="92">
        <v>45075</v>
      </c>
    </row>
    <row r="1430" spans="1:10">
      <c r="A1430" s="114" t="s">
        <v>115</v>
      </c>
      <c r="B1430">
        <v>3970</v>
      </c>
      <c r="C1430" s="114" t="s">
        <v>289</v>
      </c>
      <c r="D1430" s="92">
        <v>45075</v>
      </c>
      <c r="E1430">
        <v>2300</v>
      </c>
      <c r="F1430" s="114" t="s">
        <v>290</v>
      </c>
      <c r="G1430" s="204" t="s">
        <v>415</v>
      </c>
      <c r="H1430" s="92">
        <v>45075</v>
      </c>
    </row>
    <row r="1431" spans="1:10">
      <c r="A1431" s="114" t="s">
        <v>73</v>
      </c>
      <c r="B1431">
        <v>2020</v>
      </c>
      <c r="C1431" t="s">
        <v>356</v>
      </c>
      <c r="D1431" s="92">
        <v>45075</v>
      </c>
      <c r="E1431">
        <v>6000</v>
      </c>
      <c r="F1431" t="s">
        <v>357</v>
      </c>
      <c r="G1431" s="204" t="s">
        <v>415</v>
      </c>
      <c r="H1431" s="92">
        <v>45075</v>
      </c>
    </row>
    <row r="1432" spans="1:10">
      <c r="A1432" s="114" t="s">
        <v>115</v>
      </c>
      <c r="B1432">
        <v>3971</v>
      </c>
      <c r="C1432" s="114" t="s">
        <v>127</v>
      </c>
      <c r="D1432" s="92">
        <v>45075</v>
      </c>
      <c r="E1432">
        <v>5800</v>
      </c>
      <c r="F1432" s="114" t="s">
        <v>157</v>
      </c>
      <c r="G1432" s="204" t="s">
        <v>415</v>
      </c>
      <c r="H1432" s="92">
        <v>45075</v>
      </c>
    </row>
    <row r="1433" spans="1:10">
      <c r="A1433" s="114" t="s">
        <v>115</v>
      </c>
      <c r="B1433">
        <v>3972</v>
      </c>
      <c r="C1433" t="s">
        <v>416</v>
      </c>
      <c r="D1433" s="92">
        <v>45075</v>
      </c>
      <c r="E1433">
        <v>10500</v>
      </c>
      <c r="F1433" t="s">
        <v>290</v>
      </c>
      <c r="G1433" s="204" t="s">
        <v>408</v>
      </c>
      <c r="H1433" s="92">
        <v>45075</v>
      </c>
    </row>
    <row r="1434" spans="1:10">
      <c r="A1434" s="114" t="s">
        <v>115</v>
      </c>
      <c r="B1434">
        <v>3973</v>
      </c>
      <c r="C1434" t="s">
        <v>416</v>
      </c>
      <c r="D1434" s="92">
        <v>45075</v>
      </c>
      <c r="E1434">
        <v>10500</v>
      </c>
      <c r="F1434" t="s">
        <v>290</v>
      </c>
      <c r="G1434" s="204" t="s">
        <v>415</v>
      </c>
      <c r="H1434" s="92">
        <v>45075</v>
      </c>
    </row>
    <row r="1435" spans="1:10">
      <c r="A1435" s="114" t="s">
        <v>115</v>
      </c>
      <c r="B1435">
        <v>3974</v>
      </c>
      <c r="C1435" t="s">
        <v>417</v>
      </c>
      <c r="D1435" s="92">
        <v>45077</v>
      </c>
      <c r="E1435">
        <f>1500+1500</f>
        <v>3000</v>
      </c>
      <c r="F1435" t="s">
        <v>8</v>
      </c>
      <c r="G1435" s="204" t="s">
        <v>408</v>
      </c>
      <c r="H1435" s="92">
        <v>45077</v>
      </c>
      <c r="I1435" t="s">
        <v>418</v>
      </c>
    </row>
    <row r="1436" spans="1:10">
      <c r="A1436" s="114" t="s">
        <v>115</v>
      </c>
      <c r="B1436">
        <v>3975</v>
      </c>
      <c r="C1436" t="s">
        <v>417</v>
      </c>
      <c r="D1436" s="92">
        <v>45077</v>
      </c>
      <c r="E1436">
        <v>1500</v>
      </c>
      <c r="F1436" t="s">
        <v>8</v>
      </c>
      <c r="G1436" s="204" t="s">
        <v>415</v>
      </c>
      <c r="H1436" s="92">
        <v>45077</v>
      </c>
      <c r="I1436">
        <v>0</v>
      </c>
    </row>
    <row r="1437" spans="1:10">
      <c r="A1437" s="114" t="s">
        <v>115</v>
      </c>
      <c r="B1437">
        <v>3976</v>
      </c>
      <c r="C1437" s="219" t="s">
        <v>153</v>
      </c>
      <c r="D1437" s="92">
        <v>45099</v>
      </c>
      <c r="E1437">
        <f>2200*3</f>
        <v>6600</v>
      </c>
      <c r="F1437" s="114" t="s">
        <v>168</v>
      </c>
      <c r="G1437" t="s">
        <v>419</v>
      </c>
      <c r="H1437" s="92">
        <v>45099</v>
      </c>
      <c r="J1437" t="s">
        <v>267</v>
      </c>
    </row>
    <row r="1438" spans="1:10">
      <c r="A1438" s="114" t="s">
        <v>115</v>
      </c>
      <c r="B1438">
        <v>3977</v>
      </c>
      <c r="C1438" s="220" t="s">
        <v>154</v>
      </c>
      <c r="D1438" s="92">
        <v>45099</v>
      </c>
      <c r="E1438" s="201">
        <f>(2700*3)</f>
        <v>8100</v>
      </c>
      <c r="F1438" s="87" t="s">
        <v>168</v>
      </c>
      <c r="G1438" t="s">
        <v>419</v>
      </c>
      <c r="H1438" s="92">
        <v>45099</v>
      </c>
      <c r="J1438" s="216" t="s">
        <v>420</v>
      </c>
    </row>
    <row r="1439" spans="1:10">
      <c r="A1439" s="114" t="s">
        <v>115</v>
      </c>
      <c r="B1439" s="207">
        <v>3978</v>
      </c>
      <c r="C1439" s="114" t="s">
        <v>170</v>
      </c>
      <c r="D1439" s="92">
        <v>45103</v>
      </c>
      <c r="E1439">
        <v>3400</v>
      </c>
      <c r="F1439" s="114" t="s">
        <v>161</v>
      </c>
      <c r="G1439" s="204" t="s">
        <v>421</v>
      </c>
      <c r="H1439" s="92">
        <v>45103</v>
      </c>
    </row>
    <row r="1440" spans="1:10">
      <c r="A1440" s="114" t="s">
        <v>73</v>
      </c>
      <c r="B1440">
        <v>2021</v>
      </c>
      <c r="C1440" s="114" t="s">
        <v>275</v>
      </c>
      <c r="D1440" s="92">
        <v>45103</v>
      </c>
      <c r="E1440">
        <v>5400</v>
      </c>
      <c r="F1440" s="114" t="s">
        <v>89</v>
      </c>
      <c r="G1440" s="204" t="s">
        <v>421</v>
      </c>
      <c r="H1440" s="92">
        <v>45103</v>
      </c>
    </row>
    <row r="1441" spans="1:8">
      <c r="A1441" s="114" t="s">
        <v>115</v>
      </c>
      <c r="B1441">
        <v>3979</v>
      </c>
      <c r="C1441" s="114" t="s">
        <v>131</v>
      </c>
      <c r="D1441" s="92">
        <v>45103</v>
      </c>
      <c r="E1441">
        <v>1200</v>
      </c>
      <c r="F1441" s="114" t="s">
        <v>142</v>
      </c>
      <c r="G1441" s="204" t="s">
        <v>421</v>
      </c>
      <c r="H1441" s="92">
        <v>45103</v>
      </c>
    </row>
    <row r="1442" spans="1:8">
      <c r="A1442" s="114" t="s">
        <v>115</v>
      </c>
      <c r="B1442">
        <v>3980</v>
      </c>
      <c r="C1442" s="114" t="s">
        <v>128</v>
      </c>
      <c r="D1442" s="92">
        <v>45103</v>
      </c>
      <c r="E1442">
        <v>12000</v>
      </c>
      <c r="F1442" s="114" t="s">
        <v>142</v>
      </c>
      <c r="G1442" s="204" t="s">
        <v>421</v>
      </c>
      <c r="H1442" s="92">
        <v>45103</v>
      </c>
    </row>
    <row r="1443" spans="1:8">
      <c r="A1443" s="114" t="s">
        <v>115</v>
      </c>
      <c r="B1443">
        <v>3981</v>
      </c>
      <c r="C1443" s="114" t="s">
        <v>134</v>
      </c>
      <c r="D1443" s="92">
        <v>45103</v>
      </c>
      <c r="E1443">
        <v>3300</v>
      </c>
      <c r="F1443" s="114" t="s">
        <v>135</v>
      </c>
      <c r="G1443" s="204" t="s">
        <v>421</v>
      </c>
      <c r="H1443" s="92">
        <v>45103</v>
      </c>
    </row>
    <row r="1444" spans="1:8">
      <c r="A1444" s="114" t="s">
        <v>73</v>
      </c>
      <c r="B1444">
        <v>2022</v>
      </c>
      <c r="C1444" s="114" t="s">
        <v>109</v>
      </c>
      <c r="D1444" s="92">
        <v>45103</v>
      </c>
      <c r="E1444">
        <v>2900</v>
      </c>
      <c r="F1444" s="114" t="s">
        <v>91</v>
      </c>
      <c r="G1444" s="204" t="s">
        <v>421</v>
      </c>
      <c r="H1444" s="92">
        <v>45103</v>
      </c>
    </row>
    <row r="1445" spans="1:8">
      <c r="A1445" s="114" t="s">
        <v>115</v>
      </c>
      <c r="B1445">
        <v>3982</v>
      </c>
      <c r="C1445" s="114" t="s">
        <v>147</v>
      </c>
      <c r="D1445" s="92">
        <v>45103</v>
      </c>
      <c r="E1445">
        <v>5800</v>
      </c>
      <c r="F1445" s="114" t="s">
        <v>89</v>
      </c>
      <c r="G1445" s="204" t="s">
        <v>421</v>
      </c>
      <c r="H1445" s="92">
        <v>45103</v>
      </c>
    </row>
    <row r="1446" spans="1:8">
      <c r="A1446" s="114" t="s">
        <v>115</v>
      </c>
      <c r="B1446">
        <v>3983</v>
      </c>
      <c r="C1446" s="114" t="s">
        <v>130</v>
      </c>
      <c r="D1446" s="92">
        <v>45103</v>
      </c>
      <c r="E1446">
        <v>1500</v>
      </c>
      <c r="F1446" s="114" t="s">
        <v>142</v>
      </c>
      <c r="G1446" s="204" t="s">
        <v>421</v>
      </c>
      <c r="H1446" s="92">
        <v>45103</v>
      </c>
    </row>
    <row r="1447" spans="1:8">
      <c r="A1447" s="114" t="s">
        <v>115</v>
      </c>
      <c r="B1447">
        <v>3984</v>
      </c>
      <c r="C1447" s="160" t="s">
        <v>152</v>
      </c>
      <c r="D1447" s="92">
        <v>45103</v>
      </c>
      <c r="E1447">
        <v>3600</v>
      </c>
      <c r="F1447" s="114" t="s">
        <v>164</v>
      </c>
      <c r="G1447" s="204" t="s">
        <v>421</v>
      </c>
      <c r="H1447" s="92">
        <v>45103</v>
      </c>
    </row>
    <row r="1448" spans="1:8">
      <c r="A1448" s="114" t="s">
        <v>73</v>
      </c>
      <c r="B1448">
        <v>2023</v>
      </c>
      <c r="C1448" s="114" t="s">
        <v>87</v>
      </c>
      <c r="D1448" s="92">
        <v>45103</v>
      </c>
      <c r="E1448">
        <v>1100</v>
      </c>
      <c r="F1448" s="114" t="s">
        <v>91</v>
      </c>
      <c r="G1448" s="204" t="s">
        <v>421</v>
      </c>
      <c r="H1448" s="92">
        <v>45103</v>
      </c>
    </row>
    <row r="1449" spans="1:8">
      <c r="A1449" s="114" t="s">
        <v>115</v>
      </c>
      <c r="B1449">
        <v>3985</v>
      </c>
      <c r="C1449" s="114" t="s">
        <v>129</v>
      </c>
      <c r="D1449" s="92">
        <v>45103</v>
      </c>
      <c r="E1449">
        <v>500</v>
      </c>
      <c r="F1449" s="114" t="s">
        <v>142</v>
      </c>
      <c r="G1449" s="204" t="s">
        <v>421</v>
      </c>
      <c r="H1449" s="92">
        <v>45103</v>
      </c>
    </row>
    <row r="1450" spans="1:8">
      <c r="A1450" s="114" t="s">
        <v>73</v>
      </c>
      <c r="B1450">
        <v>2024</v>
      </c>
      <c r="C1450" s="114" t="s">
        <v>292</v>
      </c>
      <c r="D1450" s="92">
        <v>45103</v>
      </c>
      <c r="E1450">
        <v>2900</v>
      </c>
      <c r="F1450" s="114" t="s">
        <v>107</v>
      </c>
      <c r="G1450" s="204" t="s">
        <v>421</v>
      </c>
      <c r="H1450" s="92">
        <v>45103</v>
      </c>
    </row>
    <row r="1451" spans="1:8">
      <c r="A1451" s="114" t="s">
        <v>115</v>
      </c>
      <c r="B1451">
        <v>3986</v>
      </c>
      <c r="C1451" s="114" t="s">
        <v>132</v>
      </c>
      <c r="D1451" s="92">
        <v>45103</v>
      </c>
      <c r="E1451">
        <v>4000</v>
      </c>
      <c r="F1451" s="114" t="s">
        <v>135</v>
      </c>
      <c r="G1451" s="204" t="s">
        <v>421</v>
      </c>
      <c r="H1451" s="92">
        <v>45103</v>
      </c>
    </row>
    <row r="1452" spans="1:8">
      <c r="A1452" s="114" t="s">
        <v>115</v>
      </c>
      <c r="B1452">
        <v>3987</v>
      </c>
      <c r="C1452" s="114" t="s">
        <v>141</v>
      </c>
      <c r="D1452" s="92">
        <v>45103</v>
      </c>
      <c r="E1452">
        <v>2100</v>
      </c>
      <c r="F1452" s="114" t="s">
        <v>142</v>
      </c>
      <c r="G1452" s="204" t="s">
        <v>421</v>
      </c>
      <c r="H1452" s="92">
        <v>45103</v>
      </c>
    </row>
    <row r="1453" spans="1:8">
      <c r="A1453" s="114" t="s">
        <v>73</v>
      </c>
      <c r="B1453">
        <v>2025</v>
      </c>
      <c r="C1453" s="114" t="s">
        <v>321</v>
      </c>
      <c r="D1453" s="92">
        <v>45103</v>
      </c>
      <c r="E1453">
        <v>2100</v>
      </c>
      <c r="F1453" s="114" t="s">
        <v>8</v>
      </c>
      <c r="G1453" s="204" t="s">
        <v>421</v>
      </c>
      <c r="H1453" s="92">
        <v>45103</v>
      </c>
    </row>
    <row r="1454" spans="1:8">
      <c r="A1454" s="114" t="s">
        <v>73</v>
      </c>
      <c r="B1454">
        <v>2026</v>
      </c>
      <c r="C1454" s="87" t="s">
        <v>207</v>
      </c>
      <c r="D1454" s="92">
        <v>45103</v>
      </c>
      <c r="E1454">
        <v>9000</v>
      </c>
      <c r="F1454" s="87" t="s">
        <v>93</v>
      </c>
      <c r="G1454" s="204" t="s">
        <v>421</v>
      </c>
      <c r="H1454" s="92">
        <v>45103</v>
      </c>
    </row>
    <row r="1455" spans="1:8">
      <c r="A1455" s="114" t="s">
        <v>115</v>
      </c>
      <c r="B1455">
        <v>3988</v>
      </c>
      <c r="C1455" s="114" t="s">
        <v>137</v>
      </c>
      <c r="D1455" s="92">
        <v>45103</v>
      </c>
      <c r="E1455">
        <v>4500</v>
      </c>
      <c r="F1455" s="114" t="s">
        <v>376</v>
      </c>
      <c r="G1455" s="204" t="s">
        <v>421</v>
      </c>
      <c r="H1455" s="92">
        <v>45103</v>
      </c>
    </row>
    <row r="1456" spans="1:8">
      <c r="A1456" s="114" t="s">
        <v>115</v>
      </c>
      <c r="B1456">
        <v>3989</v>
      </c>
      <c r="C1456" s="114" t="s">
        <v>149</v>
      </c>
      <c r="D1456" s="92">
        <v>45103</v>
      </c>
      <c r="E1456">
        <v>1500</v>
      </c>
      <c r="F1456" s="114" t="s">
        <v>8</v>
      </c>
      <c r="G1456" s="204" t="s">
        <v>421</v>
      </c>
      <c r="H1456" s="92">
        <v>45103</v>
      </c>
    </row>
    <row r="1457" spans="1:8">
      <c r="A1457" s="114" t="s">
        <v>73</v>
      </c>
      <c r="B1457">
        <v>2028</v>
      </c>
      <c r="C1457" s="114" t="s">
        <v>99</v>
      </c>
      <c r="D1457" s="92">
        <v>45103</v>
      </c>
      <c r="E1457">
        <v>3800</v>
      </c>
      <c r="F1457" s="114" t="s">
        <v>112</v>
      </c>
      <c r="G1457" s="204" t="s">
        <v>421</v>
      </c>
      <c r="H1457" s="92">
        <v>45103</v>
      </c>
    </row>
    <row r="1458" spans="1:8">
      <c r="A1458" s="114" t="s">
        <v>73</v>
      </c>
      <c r="B1458">
        <v>2029</v>
      </c>
      <c r="C1458" s="114" t="s">
        <v>80</v>
      </c>
      <c r="D1458" s="92">
        <v>45103</v>
      </c>
      <c r="E1458">
        <v>1600</v>
      </c>
      <c r="F1458" s="114" t="s">
        <v>3</v>
      </c>
      <c r="G1458" s="204" t="s">
        <v>421</v>
      </c>
      <c r="H1458" s="92">
        <v>45105</v>
      </c>
    </row>
    <row r="1459" spans="1:8">
      <c r="A1459" s="114" t="s">
        <v>73</v>
      </c>
      <c r="B1459">
        <v>2030</v>
      </c>
      <c r="C1459" s="114" t="s">
        <v>96</v>
      </c>
      <c r="D1459" s="92">
        <v>45103</v>
      </c>
      <c r="E1459">
        <v>3800</v>
      </c>
      <c r="F1459" s="114" t="s">
        <v>112</v>
      </c>
      <c r="G1459" s="204" t="s">
        <v>421</v>
      </c>
      <c r="H1459" s="92">
        <v>45103</v>
      </c>
    </row>
    <row r="1460" spans="1:8">
      <c r="A1460" s="114" t="s">
        <v>73</v>
      </c>
      <c r="B1460">
        <v>2031</v>
      </c>
      <c r="C1460" s="114" t="s">
        <v>378</v>
      </c>
      <c r="D1460" s="92">
        <v>45103</v>
      </c>
      <c r="E1460">
        <v>2500</v>
      </c>
      <c r="F1460" s="114" t="s">
        <v>8</v>
      </c>
      <c r="G1460" s="204" t="s">
        <v>421</v>
      </c>
      <c r="H1460" s="92">
        <v>45105</v>
      </c>
    </row>
    <row r="1461" spans="1:8">
      <c r="A1461" s="114" t="s">
        <v>115</v>
      </c>
      <c r="B1461">
        <v>3990</v>
      </c>
      <c r="C1461" s="114" t="s">
        <v>148</v>
      </c>
      <c r="D1461" s="92">
        <v>45103</v>
      </c>
      <c r="E1461">
        <v>4300</v>
      </c>
      <c r="F1461" s="114" t="s">
        <v>166</v>
      </c>
      <c r="G1461" s="204" t="s">
        <v>421</v>
      </c>
      <c r="H1461" s="92">
        <v>45105</v>
      </c>
    </row>
    <row r="1462" spans="1:8">
      <c r="A1462" s="114" t="s">
        <v>115</v>
      </c>
      <c r="B1462">
        <v>3991</v>
      </c>
      <c r="C1462" s="114" t="s">
        <v>138</v>
      </c>
      <c r="D1462" s="92">
        <v>45103</v>
      </c>
      <c r="E1462">
        <v>2900</v>
      </c>
      <c r="F1462" s="114" t="s">
        <v>135</v>
      </c>
      <c r="G1462" s="204" t="s">
        <v>421</v>
      </c>
      <c r="H1462" s="92">
        <v>45105</v>
      </c>
    </row>
    <row r="1463" spans="1:8">
      <c r="A1463" s="114" t="s">
        <v>73</v>
      </c>
      <c r="B1463">
        <v>2032</v>
      </c>
      <c r="C1463" s="114" t="s">
        <v>79</v>
      </c>
      <c r="D1463" s="92">
        <v>45103</v>
      </c>
      <c r="E1463">
        <v>1600</v>
      </c>
      <c r="F1463" s="114" t="s">
        <v>3</v>
      </c>
      <c r="G1463" s="204" t="s">
        <v>421</v>
      </c>
      <c r="H1463" s="92">
        <v>45105</v>
      </c>
    </row>
    <row r="1464" spans="1:8">
      <c r="A1464" s="114" t="s">
        <v>73</v>
      </c>
      <c r="B1464">
        <v>2033</v>
      </c>
      <c r="C1464" s="114" t="s">
        <v>106</v>
      </c>
      <c r="D1464" s="92">
        <v>45103</v>
      </c>
      <c r="E1464">
        <v>2900</v>
      </c>
      <c r="F1464" s="114" t="s">
        <v>107</v>
      </c>
      <c r="G1464" s="204" t="s">
        <v>421</v>
      </c>
      <c r="H1464" s="92">
        <v>45105</v>
      </c>
    </row>
    <row r="1465" spans="1:8">
      <c r="A1465" s="114" t="s">
        <v>115</v>
      </c>
      <c r="B1465">
        <v>3992</v>
      </c>
      <c r="C1465" s="114" t="s">
        <v>237</v>
      </c>
      <c r="D1465" s="92">
        <v>45103</v>
      </c>
      <c r="E1465">
        <v>8500</v>
      </c>
      <c r="F1465" s="114" t="s">
        <v>238</v>
      </c>
      <c r="G1465" s="204" t="s">
        <v>421</v>
      </c>
      <c r="H1465" s="92">
        <v>45105</v>
      </c>
    </row>
    <row r="1466" spans="1:8">
      <c r="A1466" s="114" t="s">
        <v>115</v>
      </c>
      <c r="B1466">
        <v>3993</v>
      </c>
      <c r="C1466" s="114" t="s">
        <v>146</v>
      </c>
      <c r="D1466" s="92">
        <v>45103</v>
      </c>
      <c r="E1466">
        <v>2000</v>
      </c>
      <c r="F1466" s="114" t="s">
        <v>8</v>
      </c>
      <c r="G1466" s="204" t="s">
        <v>421</v>
      </c>
      <c r="H1466" s="92">
        <v>45105</v>
      </c>
    </row>
    <row r="1467" spans="1:8">
      <c r="A1467" s="114" t="s">
        <v>115</v>
      </c>
      <c r="B1467">
        <v>3994</v>
      </c>
      <c r="C1467" s="114" t="s">
        <v>315</v>
      </c>
      <c r="D1467" s="92">
        <v>45103</v>
      </c>
      <c r="E1467">
        <v>3100</v>
      </c>
      <c r="F1467" s="114" t="s">
        <v>157</v>
      </c>
      <c r="G1467" s="204" t="s">
        <v>421</v>
      </c>
      <c r="H1467" s="92">
        <v>45105</v>
      </c>
    </row>
    <row r="1468" spans="1:8">
      <c r="A1468" s="114" t="s">
        <v>115</v>
      </c>
      <c r="B1468">
        <v>3995</v>
      </c>
      <c r="C1468" s="114" t="s">
        <v>344</v>
      </c>
      <c r="D1468" s="92">
        <v>45103</v>
      </c>
      <c r="E1468">
        <v>3500</v>
      </c>
      <c r="F1468" s="114" t="s">
        <v>8</v>
      </c>
      <c r="G1468" s="204" t="s">
        <v>421</v>
      </c>
      <c r="H1468" s="92">
        <v>45105</v>
      </c>
    </row>
    <row r="1469" spans="1:8">
      <c r="A1469" s="114" t="s">
        <v>73</v>
      </c>
      <c r="B1469">
        <v>2034</v>
      </c>
      <c r="C1469" s="114" t="s">
        <v>110</v>
      </c>
      <c r="D1469" s="92">
        <v>45103</v>
      </c>
      <c r="E1469">
        <v>2900</v>
      </c>
      <c r="F1469" s="114" t="s">
        <v>107</v>
      </c>
      <c r="G1469" s="204" t="s">
        <v>421</v>
      </c>
      <c r="H1469" s="92">
        <v>45105</v>
      </c>
    </row>
    <row r="1470" spans="1:8">
      <c r="A1470" s="114" t="s">
        <v>115</v>
      </c>
      <c r="B1470">
        <v>3996</v>
      </c>
      <c r="C1470" s="114" t="s">
        <v>289</v>
      </c>
      <c r="D1470" s="92">
        <v>45103</v>
      </c>
      <c r="E1470">
        <v>2300</v>
      </c>
      <c r="F1470" s="114" t="s">
        <v>290</v>
      </c>
      <c r="G1470" s="204" t="s">
        <v>421</v>
      </c>
      <c r="H1470" s="92">
        <v>45105</v>
      </c>
    </row>
    <row r="1471" spans="1:8">
      <c r="A1471" s="114" t="s">
        <v>73</v>
      </c>
      <c r="B1471">
        <v>2035</v>
      </c>
      <c r="C1471" t="s">
        <v>356</v>
      </c>
      <c r="D1471" s="92">
        <v>45103</v>
      </c>
      <c r="E1471">
        <v>6000</v>
      </c>
      <c r="F1471" t="s">
        <v>357</v>
      </c>
      <c r="G1471" s="204" t="s">
        <v>421</v>
      </c>
      <c r="H1471" s="92">
        <v>45105</v>
      </c>
    </row>
    <row r="1472" spans="1:8">
      <c r="A1472" s="114" t="s">
        <v>115</v>
      </c>
      <c r="B1472">
        <v>3997</v>
      </c>
      <c r="C1472" s="114" t="s">
        <v>127</v>
      </c>
      <c r="D1472" s="92">
        <v>45103</v>
      </c>
      <c r="E1472">
        <v>5800</v>
      </c>
      <c r="F1472" s="114" t="s">
        <v>157</v>
      </c>
      <c r="G1472" s="204" t="s">
        <v>421</v>
      </c>
      <c r="H1472" s="92">
        <v>45105</v>
      </c>
    </row>
    <row r="1473" spans="1:10">
      <c r="A1473" s="114" t="s">
        <v>115</v>
      </c>
      <c r="B1473">
        <v>3998</v>
      </c>
      <c r="C1473" t="s">
        <v>416</v>
      </c>
      <c r="D1473" s="92">
        <v>45103</v>
      </c>
      <c r="E1473">
        <v>10500</v>
      </c>
      <c r="F1473" t="s">
        <v>290</v>
      </c>
      <c r="G1473" s="204" t="s">
        <v>421</v>
      </c>
      <c r="H1473" s="92">
        <v>45105</v>
      </c>
    </row>
    <row r="1474" spans="1:10">
      <c r="A1474" s="114" t="s">
        <v>115</v>
      </c>
      <c r="B1474">
        <v>3999</v>
      </c>
      <c r="C1474" t="s">
        <v>417</v>
      </c>
      <c r="D1474" s="92">
        <v>45105</v>
      </c>
      <c r="E1474">
        <v>1500</v>
      </c>
      <c r="F1474" t="s">
        <v>8</v>
      </c>
      <c r="G1474" s="204" t="s">
        <v>421</v>
      </c>
      <c r="H1474" s="92">
        <v>45105</v>
      </c>
    </row>
    <row r="1475" spans="1:10">
      <c r="A1475" s="114" t="s">
        <v>73</v>
      </c>
      <c r="B1475">
        <v>2036</v>
      </c>
      <c r="C1475" s="114" t="s">
        <v>354</v>
      </c>
      <c r="D1475" s="92">
        <v>45103</v>
      </c>
      <c r="E1475">
        <v>7500</v>
      </c>
      <c r="F1475" s="114" t="s">
        <v>8</v>
      </c>
      <c r="G1475" t="s">
        <v>419</v>
      </c>
      <c r="H1475" s="92">
        <v>45103</v>
      </c>
    </row>
    <row r="1476" spans="1:10">
      <c r="A1476" s="114" t="s">
        <v>115</v>
      </c>
      <c r="B1476">
        <v>4000</v>
      </c>
      <c r="C1476" s="114" t="s">
        <v>190</v>
      </c>
      <c r="D1476" s="92">
        <v>45103</v>
      </c>
      <c r="E1476">
        <f>3200*3</f>
        <v>9600</v>
      </c>
      <c r="F1476" s="114" t="s">
        <v>142</v>
      </c>
      <c r="G1476" t="s">
        <v>419</v>
      </c>
      <c r="H1476" s="92">
        <v>45103</v>
      </c>
      <c r="J1476" s="216" t="s">
        <v>409</v>
      </c>
    </row>
    <row r="1477" spans="1:10">
      <c r="A1477" s="114" t="s">
        <v>115</v>
      </c>
      <c r="B1477" s="61">
        <v>4001</v>
      </c>
      <c r="C1477" s="114" t="s">
        <v>140</v>
      </c>
      <c r="D1477" s="92">
        <v>45103</v>
      </c>
      <c r="E1477" s="61">
        <v>50100</v>
      </c>
      <c r="F1477" s="114" t="s">
        <v>25</v>
      </c>
      <c r="G1477" s="221" t="s">
        <v>419</v>
      </c>
      <c r="H1477" s="92">
        <v>45103</v>
      </c>
      <c r="I1477" t="s">
        <v>425</v>
      </c>
    </row>
    <row r="1478" spans="1:10">
      <c r="A1478" s="114" t="s">
        <v>73</v>
      </c>
      <c r="B1478" s="61">
        <v>2037</v>
      </c>
      <c r="C1478" s="114" t="s">
        <v>140</v>
      </c>
      <c r="D1478" s="92">
        <v>45103</v>
      </c>
      <c r="E1478" s="61">
        <v>29000</v>
      </c>
      <c r="F1478" s="114" t="s">
        <v>25</v>
      </c>
      <c r="G1478" s="221" t="s">
        <v>419</v>
      </c>
      <c r="H1478" s="92">
        <v>45103</v>
      </c>
      <c r="I1478" t="s">
        <v>428</v>
      </c>
    </row>
    <row r="1479" spans="1:10">
      <c r="A1479" s="114" t="s">
        <v>73</v>
      </c>
      <c r="B1479" s="207">
        <v>2038</v>
      </c>
      <c r="C1479" s="114" t="s">
        <v>77</v>
      </c>
      <c r="D1479" s="92">
        <v>45103</v>
      </c>
      <c r="E1479" s="114">
        <v>2500</v>
      </c>
      <c r="F1479" s="114" t="s">
        <v>91</v>
      </c>
      <c r="G1479" s="221" t="s">
        <v>419</v>
      </c>
      <c r="H1479" s="92">
        <v>45103</v>
      </c>
    </row>
    <row r="1480" spans="1:10">
      <c r="A1480" s="114" t="s">
        <v>73</v>
      </c>
      <c r="B1480" s="207">
        <v>2039</v>
      </c>
      <c r="C1480" s="114" t="s">
        <v>86</v>
      </c>
      <c r="D1480" s="92">
        <v>45103</v>
      </c>
      <c r="E1480" s="114">
        <v>4800</v>
      </c>
      <c r="F1480" s="114" t="s">
        <v>8</v>
      </c>
      <c r="G1480" s="221" t="s">
        <v>419</v>
      </c>
      <c r="H1480" s="92">
        <v>45105</v>
      </c>
    </row>
    <row r="1481" spans="1:10">
      <c r="A1481" s="114" t="s">
        <v>73</v>
      </c>
      <c r="B1481" s="207">
        <v>2040</v>
      </c>
      <c r="C1481" s="114" t="s">
        <v>101</v>
      </c>
      <c r="D1481" s="92">
        <v>45103</v>
      </c>
      <c r="E1481">
        <f>1700*3</f>
        <v>5100</v>
      </c>
      <c r="F1481" s="114" t="s">
        <v>8</v>
      </c>
      <c r="G1481" t="s">
        <v>419</v>
      </c>
      <c r="H1481" s="92">
        <v>45105</v>
      </c>
      <c r="J1481" s="216" t="s">
        <v>280</v>
      </c>
    </row>
    <row r="1482" spans="1:10">
      <c r="A1482" s="114" t="s">
        <v>115</v>
      </c>
      <c r="B1482">
        <v>4002</v>
      </c>
      <c r="C1482" s="114" t="s">
        <v>170</v>
      </c>
      <c r="D1482" s="92">
        <v>45133</v>
      </c>
      <c r="E1482">
        <v>3400</v>
      </c>
      <c r="F1482" s="114" t="s">
        <v>161</v>
      </c>
      <c r="G1482" s="204" t="s">
        <v>426</v>
      </c>
      <c r="H1482" s="92">
        <v>45133</v>
      </c>
    </row>
    <row r="1483" spans="1:10">
      <c r="A1483" s="114" t="s">
        <v>73</v>
      </c>
      <c r="B1483">
        <v>2041</v>
      </c>
      <c r="C1483" s="114" t="s">
        <v>275</v>
      </c>
      <c r="D1483" s="92">
        <v>45133</v>
      </c>
      <c r="E1483">
        <v>5400</v>
      </c>
      <c r="F1483" s="114" t="s">
        <v>89</v>
      </c>
      <c r="G1483" s="204" t="s">
        <v>426</v>
      </c>
      <c r="H1483" s="92">
        <v>45133</v>
      </c>
    </row>
    <row r="1484" spans="1:10">
      <c r="A1484" s="114" t="s">
        <v>115</v>
      </c>
      <c r="B1484">
        <v>4004</v>
      </c>
      <c r="C1484" s="114" t="s">
        <v>131</v>
      </c>
      <c r="D1484" s="92">
        <v>45133</v>
      </c>
      <c r="E1484">
        <v>1200</v>
      </c>
      <c r="F1484" s="114" t="s">
        <v>142</v>
      </c>
      <c r="G1484" s="204" t="s">
        <v>426</v>
      </c>
      <c r="H1484" s="92">
        <v>45133</v>
      </c>
    </row>
    <row r="1485" spans="1:10">
      <c r="A1485" s="114" t="s">
        <v>115</v>
      </c>
      <c r="B1485">
        <v>4005</v>
      </c>
      <c r="C1485" s="114" t="s">
        <v>128</v>
      </c>
      <c r="D1485" s="92">
        <v>45133</v>
      </c>
      <c r="E1485">
        <v>12000</v>
      </c>
      <c r="F1485" s="114" t="s">
        <v>142</v>
      </c>
      <c r="G1485" s="204" t="s">
        <v>426</v>
      </c>
      <c r="H1485" s="92">
        <v>45133</v>
      </c>
    </row>
    <row r="1486" spans="1:10">
      <c r="A1486" s="114" t="s">
        <v>115</v>
      </c>
      <c r="B1486">
        <v>4006</v>
      </c>
      <c r="C1486" s="114" t="s">
        <v>134</v>
      </c>
      <c r="D1486" s="92">
        <v>45133</v>
      </c>
      <c r="E1486">
        <v>3300</v>
      </c>
      <c r="F1486" s="114" t="s">
        <v>135</v>
      </c>
      <c r="G1486" s="204" t="s">
        <v>426</v>
      </c>
      <c r="H1486" s="92">
        <v>45133</v>
      </c>
    </row>
    <row r="1487" spans="1:10">
      <c r="A1487" s="114" t="s">
        <v>73</v>
      </c>
      <c r="B1487">
        <v>2042</v>
      </c>
      <c r="C1487" s="114" t="s">
        <v>109</v>
      </c>
      <c r="D1487" s="92">
        <v>45133</v>
      </c>
      <c r="E1487">
        <v>2900</v>
      </c>
      <c r="F1487" s="114" t="s">
        <v>91</v>
      </c>
      <c r="G1487" s="204" t="s">
        <v>426</v>
      </c>
      <c r="H1487" s="92">
        <v>45133</v>
      </c>
    </row>
    <row r="1488" spans="1:10">
      <c r="A1488" s="114" t="s">
        <v>115</v>
      </c>
      <c r="B1488">
        <v>4007</v>
      </c>
      <c r="C1488" s="114" t="s">
        <v>147</v>
      </c>
      <c r="D1488" s="92">
        <v>45133</v>
      </c>
      <c r="E1488">
        <v>5800</v>
      </c>
      <c r="F1488" s="114" t="s">
        <v>89</v>
      </c>
      <c r="G1488" s="204" t="s">
        <v>426</v>
      </c>
      <c r="H1488" s="92">
        <v>45133</v>
      </c>
    </row>
    <row r="1489" spans="1:8">
      <c r="A1489" s="114" t="s">
        <v>115</v>
      </c>
      <c r="B1489">
        <v>4008</v>
      </c>
      <c r="C1489" s="114" t="s">
        <v>130</v>
      </c>
      <c r="D1489" s="92">
        <v>45133</v>
      </c>
      <c r="E1489">
        <v>1500</v>
      </c>
      <c r="F1489" s="114" t="s">
        <v>142</v>
      </c>
      <c r="G1489" s="204" t="s">
        <v>426</v>
      </c>
      <c r="H1489" s="92">
        <v>45133</v>
      </c>
    </row>
    <row r="1490" spans="1:8">
      <c r="A1490" s="114" t="s">
        <v>115</v>
      </c>
      <c r="B1490">
        <v>4009</v>
      </c>
      <c r="C1490" s="160" t="s">
        <v>152</v>
      </c>
      <c r="D1490" s="92">
        <v>45133</v>
      </c>
      <c r="E1490">
        <v>3600</v>
      </c>
      <c r="F1490" s="114" t="s">
        <v>164</v>
      </c>
      <c r="G1490" s="204" t="s">
        <v>426</v>
      </c>
      <c r="H1490" s="92">
        <v>45133</v>
      </c>
    </row>
    <row r="1491" spans="1:8">
      <c r="A1491" s="114" t="s">
        <v>73</v>
      </c>
      <c r="B1491">
        <v>2043</v>
      </c>
      <c r="C1491" s="114" t="s">
        <v>87</v>
      </c>
      <c r="D1491" s="92">
        <v>45133</v>
      </c>
      <c r="E1491">
        <v>1100</v>
      </c>
      <c r="F1491" s="114" t="s">
        <v>91</v>
      </c>
      <c r="G1491" s="204" t="s">
        <v>426</v>
      </c>
      <c r="H1491" s="92">
        <v>45133</v>
      </c>
    </row>
    <row r="1492" spans="1:8">
      <c r="A1492" s="114" t="s">
        <v>115</v>
      </c>
      <c r="B1492">
        <v>4011</v>
      </c>
      <c r="C1492" s="114" t="s">
        <v>129</v>
      </c>
      <c r="D1492" s="92">
        <v>45133</v>
      </c>
      <c r="E1492">
        <v>500</v>
      </c>
      <c r="F1492" s="114" t="s">
        <v>142</v>
      </c>
      <c r="G1492" s="204" t="s">
        <v>426</v>
      </c>
      <c r="H1492" s="92">
        <v>45133</v>
      </c>
    </row>
    <row r="1493" spans="1:8">
      <c r="A1493" s="114" t="s">
        <v>73</v>
      </c>
      <c r="B1493">
        <v>2044</v>
      </c>
      <c r="C1493" s="114" t="s">
        <v>292</v>
      </c>
      <c r="D1493" s="92">
        <v>45133</v>
      </c>
      <c r="E1493">
        <v>2900</v>
      </c>
      <c r="F1493" s="114" t="s">
        <v>107</v>
      </c>
      <c r="G1493" s="204" t="s">
        <v>426</v>
      </c>
      <c r="H1493" s="92">
        <v>45133</v>
      </c>
    </row>
    <row r="1494" spans="1:8">
      <c r="A1494" s="114" t="s">
        <v>115</v>
      </c>
      <c r="B1494">
        <v>4012</v>
      </c>
      <c r="C1494" s="114" t="s">
        <v>132</v>
      </c>
      <c r="D1494" s="92">
        <v>45133</v>
      </c>
      <c r="E1494">
        <v>4000</v>
      </c>
      <c r="F1494" s="114" t="s">
        <v>135</v>
      </c>
      <c r="G1494" s="204" t="s">
        <v>426</v>
      </c>
      <c r="H1494" s="92">
        <v>45133</v>
      </c>
    </row>
    <row r="1495" spans="1:8">
      <c r="A1495" s="114" t="s">
        <v>115</v>
      </c>
      <c r="B1495">
        <v>4013</v>
      </c>
      <c r="C1495" s="114" t="s">
        <v>141</v>
      </c>
      <c r="D1495" s="92">
        <v>45133</v>
      </c>
      <c r="E1495">
        <v>2100</v>
      </c>
      <c r="F1495" s="114" t="s">
        <v>142</v>
      </c>
      <c r="G1495" s="204" t="s">
        <v>426</v>
      </c>
      <c r="H1495" s="92">
        <v>45133</v>
      </c>
    </row>
    <row r="1496" spans="1:8">
      <c r="A1496" s="114" t="s">
        <v>73</v>
      </c>
      <c r="B1496">
        <v>2045</v>
      </c>
      <c r="C1496" s="114" t="s">
        <v>321</v>
      </c>
      <c r="D1496" s="92">
        <v>45133</v>
      </c>
      <c r="E1496">
        <v>2100</v>
      </c>
      <c r="F1496" s="114" t="s">
        <v>8</v>
      </c>
      <c r="G1496" s="204" t="s">
        <v>426</v>
      </c>
      <c r="H1496" s="92">
        <v>45133</v>
      </c>
    </row>
    <row r="1497" spans="1:8">
      <c r="A1497" s="114" t="s">
        <v>73</v>
      </c>
      <c r="B1497">
        <v>2046</v>
      </c>
      <c r="C1497" s="87" t="s">
        <v>207</v>
      </c>
      <c r="D1497" s="92">
        <v>45133</v>
      </c>
      <c r="E1497">
        <v>9000</v>
      </c>
      <c r="F1497" s="87" t="s">
        <v>93</v>
      </c>
      <c r="G1497" s="204" t="s">
        <v>426</v>
      </c>
      <c r="H1497" s="92">
        <v>45133</v>
      </c>
    </row>
    <row r="1498" spans="1:8">
      <c r="A1498" s="114" t="s">
        <v>115</v>
      </c>
      <c r="B1498">
        <v>4014</v>
      </c>
      <c r="C1498" s="114" t="s">
        <v>137</v>
      </c>
      <c r="D1498" s="92">
        <v>45133</v>
      </c>
      <c r="E1498">
        <v>4500</v>
      </c>
      <c r="F1498" s="114" t="s">
        <v>376</v>
      </c>
      <c r="G1498" s="204" t="s">
        <v>426</v>
      </c>
      <c r="H1498" s="92">
        <v>45133</v>
      </c>
    </row>
    <row r="1499" spans="1:8">
      <c r="A1499" s="114" t="s">
        <v>115</v>
      </c>
      <c r="B1499">
        <v>4015</v>
      </c>
      <c r="C1499" s="114" t="s">
        <v>149</v>
      </c>
      <c r="D1499" s="92">
        <v>45133</v>
      </c>
      <c r="E1499">
        <v>1500</v>
      </c>
      <c r="F1499" s="114" t="s">
        <v>8</v>
      </c>
      <c r="G1499" s="204" t="s">
        <v>426</v>
      </c>
      <c r="H1499" s="92">
        <v>45133</v>
      </c>
    </row>
    <row r="1500" spans="1:8">
      <c r="A1500" s="114" t="s">
        <v>73</v>
      </c>
      <c r="B1500">
        <v>2047</v>
      </c>
      <c r="C1500" s="114" t="s">
        <v>99</v>
      </c>
      <c r="D1500" s="92">
        <v>45133</v>
      </c>
      <c r="E1500">
        <v>3800</v>
      </c>
      <c r="F1500" s="114" t="s">
        <v>112</v>
      </c>
      <c r="G1500" s="204" t="s">
        <v>426</v>
      </c>
      <c r="H1500" s="92">
        <v>45133</v>
      </c>
    </row>
    <row r="1501" spans="1:8">
      <c r="A1501" s="114" t="s">
        <v>73</v>
      </c>
      <c r="B1501">
        <v>2048</v>
      </c>
      <c r="C1501" s="114" t="s">
        <v>80</v>
      </c>
      <c r="D1501" s="92">
        <v>45133</v>
      </c>
      <c r="E1501">
        <v>1600</v>
      </c>
      <c r="F1501" s="114" t="s">
        <v>3</v>
      </c>
      <c r="G1501" s="204" t="s">
        <v>426</v>
      </c>
      <c r="H1501" s="92">
        <v>45133</v>
      </c>
    </row>
    <row r="1502" spans="1:8">
      <c r="A1502" s="114" t="s">
        <v>73</v>
      </c>
      <c r="B1502">
        <v>2049</v>
      </c>
      <c r="C1502" s="114" t="s">
        <v>96</v>
      </c>
      <c r="D1502" s="92">
        <v>45133</v>
      </c>
      <c r="E1502">
        <v>3800</v>
      </c>
      <c r="F1502" s="114" t="s">
        <v>112</v>
      </c>
      <c r="G1502" s="204" t="s">
        <v>426</v>
      </c>
      <c r="H1502" s="92">
        <v>45133</v>
      </c>
    </row>
    <row r="1503" spans="1:8">
      <c r="A1503" s="114" t="s">
        <v>73</v>
      </c>
      <c r="B1503">
        <v>2050</v>
      </c>
      <c r="C1503" s="114" t="s">
        <v>378</v>
      </c>
      <c r="D1503" s="92">
        <v>45133</v>
      </c>
      <c r="E1503">
        <v>2500</v>
      </c>
      <c r="F1503" s="114" t="s">
        <v>8</v>
      </c>
      <c r="G1503" s="204" t="s">
        <v>426</v>
      </c>
      <c r="H1503" s="92">
        <v>45133</v>
      </c>
    </row>
    <row r="1504" spans="1:8">
      <c r="A1504" s="114" t="s">
        <v>115</v>
      </c>
      <c r="B1504">
        <v>4016</v>
      </c>
      <c r="C1504" s="114" t="s">
        <v>148</v>
      </c>
      <c r="D1504" s="92">
        <v>45133</v>
      </c>
      <c r="E1504">
        <v>4300</v>
      </c>
      <c r="F1504" s="114" t="s">
        <v>166</v>
      </c>
      <c r="G1504" s="204" t="s">
        <v>426</v>
      </c>
      <c r="H1504" s="92">
        <v>45133</v>
      </c>
    </row>
    <row r="1505" spans="1:9">
      <c r="A1505" s="114" t="s">
        <v>115</v>
      </c>
      <c r="B1505">
        <v>4017</v>
      </c>
      <c r="C1505" s="114" t="s">
        <v>138</v>
      </c>
      <c r="D1505" s="92">
        <v>45133</v>
      </c>
      <c r="E1505">
        <v>2900</v>
      </c>
      <c r="F1505" s="114" t="s">
        <v>135</v>
      </c>
      <c r="G1505" s="204" t="s">
        <v>426</v>
      </c>
      <c r="H1505" s="92">
        <v>45133</v>
      </c>
    </row>
    <row r="1506" spans="1:9">
      <c r="A1506" s="114" t="s">
        <v>73</v>
      </c>
      <c r="B1506">
        <v>2051</v>
      </c>
      <c r="C1506" s="114" t="s">
        <v>79</v>
      </c>
      <c r="D1506" s="92">
        <v>45133</v>
      </c>
      <c r="E1506">
        <v>1600</v>
      </c>
      <c r="F1506" s="114" t="s">
        <v>3</v>
      </c>
      <c r="G1506" s="204" t="s">
        <v>426</v>
      </c>
      <c r="H1506" s="92">
        <v>45133</v>
      </c>
    </row>
    <row r="1507" spans="1:9">
      <c r="A1507" s="114" t="s">
        <v>73</v>
      </c>
      <c r="B1507">
        <v>2052</v>
      </c>
      <c r="C1507" s="114" t="s">
        <v>106</v>
      </c>
      <c r="D1507" s="92">
        <v>45133</v>
      </c>
      <c r="E1507">
        <v>2900</v>
      </c>
      <c r="F1507" s="114" t="s">
        <v>107</v>
      </c>
      <c r="G1507" s="204" t="s">
        <v>426</v>
      </c>
      <c r="H1507" s="92">
        <v>45133</v>
      </c>
    </row>
    <row r="1508" spans="1:9">
      <c r="A1508" s="114" t="s">
        <v>115</v>
      </c>
      <c r="B1508">
        <v>4018</v>
      </c>
      <c r="C1508" s="114" t="s">
        <v>237</v>
      </c>
      <c r="D1508" s="92">
        <v>45133</v>
      </c>
      <c r="E1508">
        <v>8500</v>
      </c>
      <c r="F1508" s="114" t="s">
        <v>238</v>
      </c>
      <c r="G1508" s="204" t="s">
        <v>426</v>
      </c>
      <c r="H1508" s="92">
        <v>45133</v>
      </c>
    </row>
    <row r="1509" spans="1:9">
      <c r="A1509" s="114" t="s">
        <v>115</v>
      </c>
      <c r="B1509">
        <v>4019</v>
      </c>
      <c r="C1509" s="114" t="s">
        <v>146</v>
      </c>
      <c r="D1509" s="92">
        <v>45133</v>
      </c>
      <c r="E1509">
        <v>2000</v>
      </c>
      <c r="F1509" s="114" t="s">
        <v>8</v>
      </c>
      <c r="G1509" s="204" t="s">
        <v>426</v>
      </c>
      <c r="H1509" s="92">
        <v>45133</v>
      </c>
    </row>
    <row r="1510" spans="1:9">
      <c r="A1510" s="114" t="s">
        <v>115</v>
      </c>
      <c r="B1510">
        <v>4020</v>
      </c>
      <c r="C1510" s="114" t="s">
        <v>315</v>
      </c>
      <c r="D1510" s="92">
        <v>45133</v>
      </c>
      <c r="E1510">
        <v>3100</v>
      </c>
      <c r="F1510" s="114" t="s">
        <v>157</v>
      </c>
      <c r="G1510" s="204" t="s">
        <v>426</v>
      </c>
      <c r="H1510" s="92">
        <v>45133</v>
      </c>
    </row>
    <row r="1511" spans="1:9">
      <c r="A1511" s="114" t="s">
        <v>115</v>
      </c>
      <c r="B1511">
        <v>4021</v>
      </c>
      <c r="C1511" s="114" t="s">
        <v>344</v>
      </c>
      <c r="D1511" s="92">
        <v>45133</v>
      </c>
      <c r="E1511">
        <v>3500</v>
      </c>
      <c r="F1511" s="114" t="s">
        <v>8</v>
      </c>
      <c r="G1511" s="204" t="s">
        <v>426</v>
      </c>
      <c r="H1511" s="92">
        <v>45133</v>
      </c>
    </row>
    <row r="1512" spans="1:9">
      <c r="A1512" s="114" t="s">
        <v>73</v>
      </c>
      <c r="B1512">
        <v>2053</v>
      </c>
      <c r="C1512" s="114" t="s">
        <v>110</v>
      </c>
      <c r="D1512" s="92">
        <v>45133</v>
      </c>
      <c r="E1512">
        <v>2900</v>
      </c>
      <c r="F1512" s="114" t="s">
        <v>107</v>
      </c>
      <c r="G1512" s="204" t="s">
        <v>426</v>
      </c>
      <c r="H1512" s="92">
        <v>45133</v>
      </c>
    </row>
    <row r="1513" spans="1:9">
      <c r="A1513" s="114" t="s">
        <v>115</v>
      </c>
      <c r="B1513">
        <v>4022</v>
      </c>
      <c r="C1513" s="114" t="s">
        <v>289</v>
      </c>
      <c r="D1513" s="92">
        <v>45133</v>
      </c>
      <c r="E1513">
        <v>2300</v>
      </c>
      <c r="F1513" s="114" t="s">
        <v>290</v>
      </c>
      <c r="G1513" s="204" t="s">
        <v>426</v>
      </c>
      <c r="H1513" s="92">
        <v>45133</v>
      </c>
    </row>
    <row r="1514" spans="1:9">
      <c r="A1514" s="114" t="s">
        <v>73</v>
      </c>
      <c r="B1514">
        <v>2054</v>
      </c>
      <c r="C1514" t="s">
        <v>356</v>
      </c>
      <c r="D1514" s="92">
        <v>45133</v>
      </c>
      <c r="E1514">
        <v>6000</v>
      </c>
      <c r="F1514" t="s">
        <v>357</v>
      </c>
      <c r="G1514" s="204" t="s">
        <v>426</v>
      </c>
      <c r="H1514" s="92">
        <v>45133</v>
      </c>
    </row>
    <row r="1515" spans="1:9">
      <c r="A1515" s="114" t="s">
        <v>115</v>
      </c>
      <c r="B1515">
        <v>4023</v>
      </c>
      <c r="C1515" s="114" t="s">
        <v>127</v>
      </c>
      <c r="D1515" s="92">
        <v>45133</v>
      </c>
      <c r="E1515">
        <v>5800</v>
      </c>
      <c r="F1515" s="114" t="s">
        <v>157</v>
      </c>
      <c r="G1515" s="204" t="s">
        <v>426</v>
      </c>
      <c r="H1515" s="92">
        <v>45133</v>
      </c>
    </row>
    <row r="1516" spans="1:9">
      <c r="A1516" s="114" t="s">
        <v>115</v>
      </c>
      <c r="B1516">
        <v>4010</v>
      </c>
      <c r="C1516" t="s">
        <v>416</v>
      </c>
      <c r="D1516" s="92">
        <v>45133</v>
      </c>
      <c r="E1516">
        <v>10500</v>
      </c>
      <c r="F1516" t="s">
        <v>290</v>
      </c>
      <c r="G1516" s="204" t="s">
        <v>426</v>
      </c>
      <c r="H1516" s="92">
        <v>45133</v>
      </c>
    </row>
    <row r="1517" spans="1:9">
      <c r="A1517" s="114" t="s">
        <v>115</v>
      </c>
      <c r="B1517">
        <v>4003</v>
      </c>
      <c r="C1517" t="s">
        <v>417</v>
      </c>
      <c r="D1517" s="92">
        <v>45133</v>
      </c>
      <c r="E1517">
        <v>1500</v>
      </c>
      <c r="F1517" t="s">
        <v>8</v>
      </c>
      <c r="G1517" s="204" t="s">
        <v>426</v>
      </c>
      <c r="H1517" s="92">
        <v>45133</v>
      </c>
    </row>
    <row r="1518" spans="1:9">
      <c r="A1518" s="87" t="s">
        <v>250</v>
      </c>
      <c r="B1518" s="96">
        <v>146</v>
      </c>
      <c r="C1518" s="87" t="s">
        <v>145</v>
      </c>
      <c r="D1518" s="102">
        <v>45133</v>
      </c>
      <c r="E1518" s="87">
        <f>500*3</f>
        <v>1500</v>
      </c>
      <c r="F1518" s="87" t="s">
        <v>162</v>
      </c>
      <c r="G1518" s="87" t="s">
        <v>419</v>
      </c>
      <c r="H1518" s="102">
        <v>45133</v>
      </c>
    </row>
    <row r="1519" spans="1:9">
      <c r="A1519" s="207" t="s">
        <v>250</v>
      </c>
      <c r="B1519">
        <v>147</v>
      </c>
      <c r="C1519" s="89" t="s">
        <v>144</v>
      </c>
      <c r="D1519" s="92">
        <v>45135</v>
      </c>
      <c r="E1519">
        <v>500</v>
      </c>
      <c r="F1519" s="87" t="s">
        <v>162</v>
      </c>
      <c r="G1519" t="s">
        <v>427</v>
      </c>
      <c r="H1519" s="92">
        <v>45135</v>
      </c>
    </row>
    <row r="1520" spans="1:9">
      <c r="A1520" s="114" t="s">
        <v>115</v>
      </c>
      <c r="B1520" s="61">
        <v>4024</v>
      </c>
      <c r="C1520" s="114" t="s">
        <v>140</v>
      </c>
      <c r="D1520" s="92">
        <v>45138</v>
      </c>
      <c r="E1520" s="61">
        <f>4500*3</f>
        <v>13500</v>
      </c>
      <c r="F1520" s="114" t="s">
        <v>25</v>
      </c>
      <c r="G1520" s="221" t="s">
        <v>419</v>
      </c>
      <c r="H1520" s="92">
        <v>45138</v>
      </c>
      <c r="I1520" t="s">
        <v>429</v>
      </c>
    </row>
    <row r="1521" spans="1:8">
      <c r="A1521" s="207" t="s">
        <v>250</v>
      </c>
      <c r="B1521" s="61">
        <v>149</v>
      </c>
      <c r="C1521" s="207" t="s">
        <v>144</v>
      </c>
      <c r="D1521" s="92">
        <v>45138</v>
      </c>
      <c r="E1521">
        <f>16500*3</f>
        <v>49500</v>
      </c>
      <c r="F1521" s="87" t="s">
        <v>162</v>
      </c>
      <c r="G1521" t="s">
        <v>419</v>
      </c>
      <c r="H1521" s="92">
        <v>45141</v>
      </c>
    </row>
    <row r="1522" spans="1:8">
      <c r="A1522" s="114" t="s">
        <v>115</v>
      </c>
      <c r="B1522">
        <v>4025</v>
      </c>
      <c r="C1522" s="114" t="s">
        <v>170</v>
      </c>
      <c r="D1522" s="92">
        <v>45166</v>
      </c>
      <c r="E1522">
        <v>3400</v>
      </c>
      <c r="F1522" s="114" t="s">
        <v>161</v>
      </c>
      <c r="G1522" s="204" t="s">
        <v>432</v>
      </c>
      <c r="H1522" s="92">
        <v>45166</v>
      </c>
    </row>
    <row r="1523" spans="1:8">
      <c r="A1523" s="114" t="s">
        <v>73</v>
      </c>
      <c r="B1523">
        <v>2055</v>
      </c>
      <c r="C1523" s="114" t="s">
        <v>275</v>
      </c>
      <c r="D1523" s="92">
        <v>45166</v>
      </c>
      <c r="E1523">
        <v>5400</v>
      </c>
      <c r="F1523" s="114" t="s">
        <v>89</v>
      </c>
      <c r="G1523" s="204" t="s">
        <v>432</v>
      </c>
      <c r="H1523" s="92">
        <v>45166</v>
      </c>
    </row>
    <row r="1524" spans="1:8">
      <c r="A1524" s="114" t="s">
        <v>115</v>
      </c>
      <c r="B1524" s="61">
        <v>4026</v>
      </c>
      <c r="C1524" s="114" t="s">
        <v>131</v>
      </c>
      <c r="D1524" s="92">
        <v>45166</v>
      </c>
      <c r="E1524">
        <v>1200</v>
      </c>
      <c r="F1524" s="114" t="s">
        <v>142</v>
      </c>
      <c r="G1524" s="204" t="s">
        <v>432</v>
      </c>
      <c r="H1524" s="92">
        <v>45166</v>
      </c>
    </row>
    <row r="1525" spans="1:8">
      <c r="A1525" s="114" t="s">
        <v>115</v>
      </c>
      <c r="B1525" s="61">
        <v>4027</v>
      </c>
      <c r="C1525" s="114" t="s">
        <v>128</v>
      </c>
      <c r="D1525" s="92">
        <v>45166</v>
      </c>
      <c r="E1525">
        <v>12000</v>
      </c>
      <c r="F1525" s="114" t="s">
        <v>142</v>
      </c>
      <c r="G1525" s="204" t="s">
        <v>432</v>
      </c>
      <c r="H1525" s="92">
        <v>45166</v>
      </c>
    </row>
    <row r="1526" spans="1:8">
      <c r="A1526" s="114" t="s">
        <v>115</v>
      </c>
      <c r="B1526" s="61">
        <v>4028</v>
      </c>
      <c r="C1526" s="114" t="s">
        <v>134</v>
      </c>
      <c r="D1526" s="92">
        <v>45166</v>
      </c>
      <c r="E1526">
        <v>3300</v>
      </c>
      <c r="F1526" s="114" t="s">
        <v>135</v>
      </c>
      <c r="G1526" s="204" t="s">
        <v>432</v>
      </c>
      <c r="H1526" s="92">
        <v>45166</v>
      </c>
    </row>
    <row r="1527" spans="1:8">
      <c r="A1527" s="114" t="s">
        <v>73</v>
      </c>
      <c r="B1527" s="61">
        <v>2056</v>
      </c>
      <c r="C1527" s="114" t="s">
        <v>109</v>
      </c>
      <c r="D1527" s="92">
        <v>45166</v>
      </c>
      <c r="E1527">
        <v>2900</v>
      </c>
      <c r="F1527" s="114" t="s">
        <v>91</v>
      </c>
      <c r="G1527" s="204" t="s">
        <v>432</v>
      </c>
      <c r="H1527" s="92">
        <v>45166</v>
      </c>
    </row>
    <row r="1528" spans="1:8">
      <c r="A1528" s="114" t="s">
        <v>115</v>
      </c>
      <c r="B1528">
        <v>4029</v>
      </c>
      <c r="C1528" s="114" t="s">
        <v>147</v>
      </c>
      <c r="D1528" s="92">
        <v>45166</v>
      </c>
      <c r="E1528">
        <v>5800</v>
      </c>
      <c r="F1528" s="114" t="s">
        <v>89</v>
      </c>
      <c r="G1528" s="204" t="s">
        <v>432</v>
      </c>
      <c r="H1528" s="92">
        <v>45166</v>
      </c>
    </row>
    <row r="1529" spans="1:8">
      <c r="A1529" s="114" t="s">
        <v>115</v>
      </c>
      <c r="B1529">
        <v>4030</v>
      </c>
      <c r="C1529" s="114" t="s">
        <v>130</v>
      </c>
      <c r="D1529" s="92">
        <v>45167</v>
      </c>
      <c r="E1529">
        <v>1500</v>
      </c>
      <c r="F1529" s="114" t="s">
        <v>142</v>
      </c>
      <c r="G1529" s="204" t="s">
        <v>432</v>
      </c>
      <c r="H1529" s="92">
        <v>45167</v>
      </c>
    </row>
    <row r="1530" spans="1:8">
      <c r="A1530" s="114" t="s">
        <v>115</v>
      </c>
      <c r="B1530">
        <v>4031</v>
      </c>
      <c r="C1530" s="160" t="s">
        <v>152</v>
      </c>
      <c r="D1530" s="92">
        <v>45167</v>
      </c>
      <c r="E1530">
        <v>3600</v>
      </c>
      <c r="F1530" s="114" t="s">
        <v>164</v>
      </c>
      <c r="G1530" s="204" t="s">
        <v>432</v>
      </c>
      <c r="H1530" s="92">
        <v>45167</v>
      </c>
    </row>
    <row r="1531" spans="1:8">
      <c r="A1531" s="114" t="s">
        <v>73</v>
      </c>
      <c r="B1531">
        <v>2057</v>
      </c>
      <c r="C1531" s="114" t="s">
        <v>87</v>
      </c>
      <c r="D1531" s="92">
        <v>45167</v>
      </c>
      <c r="E1531">
        <v>1100</v>
      </c>
      <c r="F1531" s="114" t="s">
        <v>91</v>
      </c>
      <c r="G1531" s="204" t="s">
        <v>432</v>
      </c>
      <c r="H1531" s="92">
        <v>45167</v>
      </c>
    </row>
    <row r="1532" spans="1:8">
      <c r="A1532" s="114" t="s">
        <v>115</v>
      </c>
      <c r="B1532">
        <v>4032</v>
      </c>
      <c r="C1532" s="114" t="s">
        <v>129</v>
      </c>
      <c r="D1532" s="92">
        <v>45167</v>
      </c>
      <c r="E1532">
        <v>500</v>
      </c>
      <c r="F1532" s="114" t="s">
        <v>142</v>
      </c>
      <c r="G1532" s="204" t="s">
        <v>432</v>
      </c>
      <c r="H1532" s="92">
        <v>45167</v>
      </c>
    </row>
    <row r="1533" spans="1:8">
      <c r="A1533" s="114" t="s">
        <v>73</v>
      </c>
      <c r="B1533">
        <v>2058</v>
      </c>
      <c r="C1533" s="114" t="s">
        <v>292</v>
      </c>
      <c r="D1533" s="92">
        <v>45167</v>
      </c>
      <c r="E1533">
        <v>2900</v>
      </c>
      <c r="F1533" s="114" t="s">
        <v>107</v>
      </c>
      <c r="G1533" s="204" t="s">
        <v>432</v>
      </c>
      <c r="H1533" s="92">
        <v>45167</v>
      </c>
    </row>
    <row r="1534" spans="1:8">
      <c r="A1534" s="114" t="s">
        <v>115</v>
      </c>
      <c r="B1534">
        <v>4033</v>
      </c>
      <c r="C1534" s="114" t="s">
        <v>132</v>
      </c>
      <c r="D1534" s="92">
        <v>45167</v>
      </c>
      <c r="E1534">
        <v>4000</v>
      </c>
      <c r="F1534" s="114" t="s">
        <v>135</v>
      </c>
      <c r="G1534" s="204" t="s">
        <v>432</v>
      </c>
      <c r="H1534" s="92">
        <v>45167</v>
      </c>
    </row>
    <row r="1535" spans="1:8">
      <c r="A1535" s="114" t="s">
        <v>115</v>
      </c>
      <c r="B1535">
        <v>4034</v>
      </c>
      <c r="C1535" s="114" t="s">
        <v>141</v>
      </c>
      <c r="D1535" s="92">
        <v>45167</v>
      </c>
      <c r="E1535">
        <v>2100</v>
      </c>
      <c r="F1535" s="114" t="s">
        <v>142</v>
      </c>
      <c r="G1535" s="204" t="s">
        <v>432</v>
      </c>
      <c r="H1535" s="92">
        <v>45167</v>
      </c>
    </row>
    <row r="1536" spans="1:8">
      <c r="A1536" s="114" t="s">
        <v>73</v>
      </c>
      <c r="B1536">
        <v>2059</v>
      </c>
      <c r="C1536" s="114" t="s">
        <v>321</v>
      </c>
      <c r="D1536" s="92">
        <v>45167</v>
      </c>
      <c r="E1536">
        <v>2100</v>
      </c>
      <c r="F1536" s="114" t="s">
        <v>8</v>
      </c>
      <c r="G1536" s="204" t="s">
        <v>432</v>
      </c>
      <c r="H1536" s="92">
        <v>45167</v>
      </c>
    </row>
    <row r="1537" spans="1:8">
      <c r="A1537" s="114" t="s">
        <v>73</v>
      </c>
      <c r="B1537">
        <v>2060</v>
      </c>
      <c r="C1537" s="87" t="s">
        <v>207</v>
      </c>
      <c r="D1537" s="92">
        <v>45167</v>
      </c>
      <c r="E1537">
        <v>9000</v>
      </c>
      <c r="F1537" s="87" t="s">
        <v>93</v>
      </c>
      <c r="G1537" s="204" t="s">
        <v>432</v>
      </c>
      <c r="H1537" s="92">
        <v>45167</v>
      </c>
    </row>
    <row r="1538" spans="1:8">
      <c r="A1538" s="114" t="s">
        <v>115</v>
      </c>
      <c r="B1538">
        <v>4035</v>
      </c>
      <c r="C1538" s="114" t="s">
        <v>137</v>
      </c>
      <c r="D1538" s="92">
        <v>45167</v>
      </c>
      <c r="E1538">
        <v>4500</v>
      </c>
      <c r="F1538" s="114" t="s">
        <v>376</v>
      </c>
      <c r="G1538" s="204" t="s">
        <v>432</v>
      </c>
      <c r="H1538" s="92">
        <v>45167</v>
      </c>
    </row>
    <row r="1539" spans="1:8">
      <c r="A1539" s="114" t="s">
        <v>115</v>
      </c>
      <c r="B1539">
        <v>4036</v>
      </c>
      <c r="C1539" s="114" t="s">
        <v>149</v>
      </c>
      <c r="D1539" s="92">
        <v>45167</v>
      </c>
      <c r="E1539">
        <v>1500</v>
      </c>
      <c r="F1539" s="114" t="s">
        <v>8</v>
      </c>
      <c r="G1539" s="204" t="s">
        <v>432</v>
      </c>
      <c r="H1539" s="92">
        <v>45167</v>
      </c>
    </row>
    <row r="1540" spans="1:8">
      <c r="A1540" s="114" t="s">
        <v>73</v>
      </c>
      <c r="B1540">
        <v>2062</v>
      </c>
      <c r="C1540" s="114" t="s">
        <v>99</v>
      </c>
      <c r="D1540" s="92">
        <v>45167</v>
      </c>
      <c r="E1540">
        <v>3800</v>
      </c>
      <c r="F1540" s="114" t="s">
        <v>112</v>
      </c>
      <c r="G1540" s="204" t="s">
        <v>432</v>
      </c>
      <c r="H1540" s="92">
        <v>45167</v>
      </c>
    </row>
    <row r="1541" spans="1:8">
      <c r="A1541" s="114" t="s">
        <v>73</v>
      </c>
      <c r="B1541">
        <v>2063</v>
      </c>
      <c r="C1541" s="114" t="s">
        <v>80</v>
      </c>
      <c r="D1541" s="92">
        <v>45167</v>
      </c>
      <c r="E1541">
        <v>1600</v>
      </c>
      <c r="F1541" s="114" t="s">
        <v>3</v>
      </c>
      <c r="G1541" s="204" t="s">
        <v>432</v>
      </c>
      <c r="H1541" s="92">
        <v>45167</v>
      </c>
    </row>
    <row r="1542" spans="1:8">
      <c r="A1542" s="114" t="s">
        <v>73</v>
      </c>
      <c r="B1542">
        <v>2064</v>
      </c>
      <c r="C1542" s="114" t="s">
        <v>96</v>
      </c>
      <c r="D1542" s="92">
        <v>45167</v>
      </c>
      <c r="E1542">
        <v>3800</v>
      </c>
      <c r="F1542" s="114" t="s">
        <v>112</v>
      </c>
      <c r="G1542" s="204" t="s">
        <v>432</v>
      </c>
      <c r="H1542" s="92">
        <v>45167</v>
      </c>
    </row>
    <row r="1543" spans="1:8">
      <c r="A1543" s="114" t="s">
        <v>73</v>
      </c>
      <c r="B1543">
        <v>2065</v>
      </c>
      <c r="C1543" s="114" t="s">
        <v>378</v>
      </c>
      <c r="D1543" s="92">
        <v>45167</v>
      </c>
      <c r="E1543">
        <v>2500</v>
      </c>
      <c r="F1543" s="114" t="s">
        <v>8</v>
      </c>
      <c r="G1543" s="204" t="s">
        <v>432</v>
      </c>
      <c r="H1543" s="92">
        <v>45167</v>
      </c>
    </row>
    <row r="1544" spans="1:8">
      <c r="A1544" s="114" t="s">
        <v>115</v>
      </c>
      <c r="B1544">
        <v>4037</v>
      </c>
      <c r="C1544" s="114" t="s">
        <v>148</v>
      </c>
      <c r="D1544" s="92">
        <v>45167</v>
      </c>
      <c r="E1544">
        <v>4300</v>
      </c>
      <c r="F1544" s="114" t="s">
        <v>166</v>
      </c>
      <c r="G1544" s="204" t="s">
        <v>432</v>
      </c>
      <c r="H1544" s="92">
        <v>45167</v>
      </c>
    </row>
    <row r="1545" spans="1:8">
      <c r="A1545" s="114" t="s">
        <v>115</v>
      </c>
      <c r="B1545">
        <v>4038</v>
      </c>
      <c r="C1545" s="114" t="s">
        <v>138</v>
      </c>
      <c r="D1545" s="92">
        <v>45167</v>
      </c>
      <c r="E1545">
        <v>2900</v>
      </c>
      <c r="F1545" s="114" t="s">
        <v>135</v>
      </c>
      <c r="G1545" s="204" t="s">
        <v>432</v>
      </c>
      <c r="H1545" s="92">
        <v>45167</v>
      </c>
    </row>
    <row r="1546" spans="1:8">
      <c r="A1546" s="114" t="s">
        <v>73</v>
      </c>
      <c r="B1546">
        <v>2066</v>
      </c>
      <c r="C1546" s="114" t="s">
        <v>79</v>
      </c>
      <c r="D1546" s="92">
        <v>45167</v>
      </c>
      <c r="E1546">
        <v>1600</v>
      </c>
      <c r="F1546" s="114" t="s">
        <v>3</v>
      </c>
      <c r="G1546" s="204" t="s">
        <v>432</v>
      </c>
      <c r="H1546" s="92">
        <v>45167</v>
      </c>
    </row>
    <row r="1547" spans="1:8">
      <c r="A1547" s="114" t="s">
        <v>73</v>
      </c>
      <c r="B1547">
        <v>2067</v>
      </c>
      <c r="C1547" s="114" t="s">
        <v>106</v>
      </c>
      <c r="D1547" s="92">
        <v>45167</v>
      </c>
      <c r="E1547">
        <v>2900</v>
      </c>
      <c r="F1547" s="114" t="s">
        <v>107</v>
      </c>
      <c r="G1547" s="204" t="s">
        <v>432</v>
      </c>
      <c r="H1547" s="92">
        <v>45167</v>
      </c>
    </row>
    <row r="1548" spans="1:8">
      <c r="A1548" s="114" t="s">
        <v>115</v>
      </c>
      <c r="B1548">
        <v>4039</v>
      </c>
      <c r="C1548" s="114" t="s">
        <v>237</v>
      </c>
      <c r="D1548" s="92">
        <v>45167</v>
      </c>
      <c r="E1548">
        <v>8500</v>
      </c>
      <c r="F1548" s="114" t="s">
        <v>238</v>
      </c>
      <c r="G1548" s="204" t="s">
        <v>432</v>
      </c>
      <c r="H1548" s="92">
        <v>45167</v>
      </c>
    </row>
    <row r="1549" spans="1:8">
      <c r="A1549" s="114" t="s">
        <v>115</v>
      </c>
      <c r="B1549">
        <v>4040</v>
      </c>
      <c r="C1549" s="114" t="s">
        <v>146</v>
      </c>
      <c r="D1549" s="92">
        <v>45167</v>
      </c>
      <c r="E1549">
        <v>2000</v>
      </c>
      <c r="F1549" s="114" t="s">
        <v>8</v>
      </c>
      <c r="G1549" s="204" t="s">
        <v>432</v>
      </c>
      <c r="H1549" s="92">
        <v>45167</v>
      </c>
    </row>
    <row r="1550" spans="1:8">
      <c r="A1550" s="114" t="s">
        <v>115</v>
      </c>
      <c r="B1550">
        <v>4041</v>
      </c>
      <c r="C1550" s="114" t="s">
        <v>315</v>
      </c>
      <c r="D1550" s="92">
        <v>45167</v>
      </c>
      <c r="E1550">
        <v>3100</v>
      </c>
      <c r="F1550" s="114" t="s">
        <v>157</v>
      </c>
      <c r="G1550" s="204" t="s">
        <v>432</v>
      </c>
      <c r="H1550" s="92">
        <v>45167</v>
      </c>
    </row>
    <row r="1551" spans="1:8">
      <c r="A1551" s="114" t="s">
        <v>115</v>
      </c>
      <c r="B1551">
        <v>4042</v>
      </c>
      <c r="C1551" s="114" t="s">
        <v>344</v>
      </c>
      <c r="D1551" s="92">
        <v>45167</v>
      </c>
      <c r="E1551">
        <v>3500</v>
      </c>
      <c r="F1551" s="114" t="s">
        <v>8</v>
      </c>
      <c r="G1551" s="204" t="s">
        <v>432</v>
      </c>
      <c r="H1551" s="92">
        <v>45167</v>
      </c>
    </row>
    <row r="1552" spans="1:8">
      <c r="A1552" s="114" t="s">
        <v>73</v>
      </c>
      <c r="B1552">
        <v>2068</v>
      </c>
      <c r="C1552" s="114" t="s">
        <v>110</v>
      </c>
      <c r="D1552" s="92">
        <v>45167</v>
      </c>
      <c r="E1552">
        <v>2900</v>
      </c>
      <c r="F1552" s="114" t="s">
        <v>107</v>
      </c>
      <c r="G1552" s="204" t="s">
        <v>432</v>
      </c>
      <c r="H1552" s="92">
        <v>45167</v>
      </c>
    </row>
    <row r="1553" spans="1:9">
      <c r="A1553" s="114" t="s">
        <v>115</v>
      </c>
      <c r="B1553">
        <v>4043</v>
      </c>
      <c r="C1553" s="114" t="s">
        <v>289</v>
      </c>
      <c r="D1553" s="92">
        <v>45167</v>
      </c>
      <c r="E1553">
        <v>2300</v>
      </c>
      <c r="F1553" s="114" t="s">
        <v>290</v>
      </c>
      <c r="G1553" s="204" t="s">
        <v>432</v>
      </c>
      <c r="H1553" s="92">
        <v>45167</v>
      </c>
    </row>
    <row r="1554" spans="1:9">
      <c r="A1554" s="114" t="s">
        <v>73</v>
      </c>
      <c r="B1554">
        <v>2069</v>
      </c>
      <c r="C1554" t="s">
        <v>356</v>
      </c>
      <c r="D1554" s="92">
        <v>45167</v>
      </c>
      <c r="E1554">
        <v>6000</v>
      </c>
      <c r="F1554" t="s">
        <v>357</v>
      </c>
      <c r="G1554" s="204" t="s">
        <v>432</v>
      </c>
      <c r="H1554" s="92">
        <v>45167</v>
      </c>
    </row>
    <row r="1555" spans="1:9">
      <c r="A1555" s="114" t="s">
        <v>115</v>
      </c>
      <c r="B1555">
        <v>4044</v>
      </c>
      <c r="C1555" s="114" t="s">
        <v>127</v>
      </c>
      <c r="D1555" s="92">
        <v>45167</v>
      </c>
      <c r="E1555">
        <v>5800</v>
      </c>
      <c r="F1555" s="114" t="s">
        <v>157</v>
      </c>
      <c r="G1555" s="204" t="s">
        <v>432</v>
      </c>
      <c r="H1555" s="92">
        <v>45167</v>
      </c>
    </row>
    <row r="1556" spans="1:9">
      <c r="A1556" s="114" t="s">
        <v>115</v>
      </c>
      <c r="B1556">
        <v>4045</v>
      </c>
      <c r="C1556" t="s">
        <v>416</v>
      </c>
      <c r="D1556" s="92">
        <v>45167</v>
      </c>
      <c r="E1556">
        <v>10500</v>
      </c>
      <c r="F1556" t="s">
        <v>290</v>
      </c>
      <c r="G1556" s="204" t="s">
        <v>432</v>
      </c>
      <c r="H1556" s="92">
        <v>45167</v>
      </c>
    </row>
    <row r="1557" spans="1:9">
      <c r="A1557" s="114" t="s">
        <v>115</v>
      </c>
      <c r="B1557">
        <v>4046</v>
      </c>
      <c r="C1557" t="s">
        <v>417</v>
      </c>
      <c r="D1557" s="92">
        <v>45166</v>
      </c>
      <c r="E1557">
        <v>1500</v>
      </c>
      <c r="F1557" t="s">
        <v>8</v>
      </c>
      <c r="G1557" s="204" t="s">
        <v>432</v>
      </c>
      <c r="H1557" s="92">
        <v>45166</v>
      </c>
    </row>
    <row r="1558" spans="1:9">
      <c r="A1558" s="114" t="s">
        <v>73</v>
      </c>
      <c r="B1558" s="61">
        <v>2070</v>
      </c>
      <c r="C1558" s="114" t="s">
        <v>140</v>
      </c>
      <c r="D1558" s="92">
        <v>45174</v>
      </c>
      <c r="E1558" s="61">
        <f>3500*3</f>
        <v>10500</v>
      </c>
      <c r="F1558" s="114" t="s">
        <v>25</v>
      </c>
      <c r="G1558" s="221" t="s">
        <v>419</v>
      </c>
      <c r="H1558" s="92">
        <v>45174</v>
      </c>
      <c r="I1558" t="s">
        <v>434</v>
      </c>
    </row>
    <row r="1559" spans="1:9">
      <c r="A1559" s="207" t="s">
        <v>250</v>
      </c>
      <c r="B1559">
        <v>151</v>
      </c>
      <c r="C1559" s="207" t="s">
        <v>144</v>
      </c>
      <c r="D1559" s="92">
        <v>45185</v>
      </c>
      <c r="E1559" s="61">
        <v>6836</v>
      </c>
      <c r="F1559" s="207" t="s">
        <v>162</v>
      </c>
      <c r="G1559" s="221" t="s">
        <v>436</v>
      </c>
    </row>
    <row r="1560" spans="1:9">
      <c r="A1560" s="114" t="s">
        <v>115</v>
      </c>
      <c r="B1560">
        <v>4048</v>
      </c>
      <c r="C1560" s="114" t="s">
        <v>170</v>
      </c>
      <c r="D1560" s="92">
        <v>45197</v>
      </c>
      <c r="E1560">
        <v>3400</v>
      </c>
      <c r="F1560" s="114" t="s">
        <v>161</v>
      </c>
      <c r="G1560" s="204" t="s">
        <v>437</v>
      </c>
      <c r="H1560" s="92">
        <v>45197</v>
      </c>
    </row>
    <row r="1561" spans="1:9">
      <c r="A1561" s="114" t="s">
        <v>73</v>
      </c>
      <c r="B1561">
        <v>2073</v>
      </c>
      <c r="C1561" s="114" t="s">
        <v>275</v>
      </c>
      <c r="D1561" s="92">
        <v>45197</v>
      </c>
      <c r="E1561">
        <v>5400</v>
      </c>
      <c r="F1561" s="114" t="s">
        <v>89</v>
      </c>
      <c r="G1561" s="204" t="s">
        <v>437</v>
      </c>
      <c r="H1561" s="92">
        <v>45197</v>
      </c>
    </row>
    <row r="1562" spans="1:9">
      <c r="A1562" s="114" t="s">
        <v>115</v>
      </c>
      <c r="B1562">
        <v>4050</v>
      </c>
      <c r="C1562" s="114" t="s">
        <v>131</v>
      </c>
      <c r="D1562" s="92">
        <v>45197</v>
      </c>
      <c r="E1562">
        <v>1200</v>
      </c>
      <c r="F1562" s="114" t="s">
        <v>142</v>
      </c>
      <c r="G1562" s="204" t="s">
        <v>437</v>
      </c>
      <c r="H1562" s="92">
        <v>45197</v>
      </c>
    </row>
    <row r="1563" spans="1:9">
      <c r="A1563" s="114" t="s">
        <v>115</v>
      </c>
      <c r="B1563">
        <v>4051</v>
      </c>
      <c r="C1563" s="114" t="s">
        <v>128</v>
      </c>
      <c r="D1563" s="92">
        <v>45197</v>
      </c>
      <c r="E1563">
        <v>12000</v>
      </c>
      <c r="F1563" s="114" t="s">
        <v>142</v>
      </c>
      <c r="G1563" s="204" t="s">
        <v>437</v>
      </c>
      <c r="H1563" s="92">
        <v>45197</v>
      </c>
    </row>
    <row r="1564" spans="1:9">
      <c r="A1564" s="114" t="s">
        <v>115</v>
      </c>
      <c r="B1564">
        <v>4052</v>
      </c>
      <c r="C1564" s="114" t="s">
        <v>134</v>
      </c>
      <c r="D1564" s="92">
        <v>45197</v>
      </c>
      <c r="E1564">
        <v>3300</v>
      </c>
      <c r="F1564" s="114" t="s">
        <v>135</v>
      </c>
      <c r="G1564" s="204" t="s">
        <v>437</v>
      </c>
      <c r="H1564" s="92">
        <v>45197</v>
      </c>
    </row>
    <row r="1565" spans="1:9">
      <c r="A1565" s="114" t="s">
        <v>73</v>
      </c>
      <c r="B1565">
        <v>2074</v>
      </c>
      <c r="C1565" s="114" t="s">
        <v>109</v>
      </c>
      <c r="D1565" s="92">
        <v>45197</v>
      </c>
      <c r="E1565">
        <v>2900</v>
      </c>
      <c r="F1565" s="114" t="s">
        <v>91</v>
      </c>
      <c r="G1565" s="204" t="s">
        <v>437</v>
      </c>
      <c r="H1565" s="92">
        <v>45197</v>
      </c>
    </row>
    <row r="1566" spans="1:9">
      <c r="A1566" s="114" t="s">
        <v>115</v>
      </c>
      <c r="B1566">
        <v>4053</v>
      </c>
      <c r="C1566" s="114" t="s">
        <v>147</v>
      </c>
      <c r="D1566" s="92">
        <v>45197</v>
      </c>
      <c r="E1566">
        <v>5800</v>
      </c>
      <c r="F1566" s="114" t="s">
        <v>89</v>
      </c>
      <c r="G1566" s="204" t="s">
        <v>437</v>
      </c>
      <c r="H1566" s="92">
        <v>45197</v>
      </c>
    </row>
    <row r="1567" spans="1:9">
      <c r="A1567" s="114" t="s">
        <v>115</v>
      </c>
      <c r="B1567">
        <v>4054</v>
      </c>
      <c r="C1567" s="114" t="s">
        <v>130</v>
      </c>
      <c r="D1567" s="92">
        <v>45197</v>
      </c>
      <c r="E1567">
        <v>1500</v>
      </c>
      <c r="F1567" s="114" t="s">
        <v>142</v>
      </c>
      <c r="G1567" s="204" t="s">
        <v>437</v>
      </c>
      <c r="H1567" s="92">
        <v>45197</v>
      </c>
    </row>
    <row r="1568" spans="1:9">
      <c r="A1568" s="114" t="s">
        <v>115</v>
      </c>
      <c r="B1568">
        <v>4058</v>
      </c>
      <c r="C1568" s="160" t="s">
        <v>152</v>
      </c>
      <c r="D1568" s="92">
        <v>45197</v>
      </c>
      <c r="E1568">
        <v>3600</v>
      </c>
      <c r="F1568" s="114" t="s">
        <v>164</v>
      </c>
      <c r="G1568" s="204" t="s">
        <v>437</v>
      </c>
      <c r="H1568" s="92">
        <v>45198</v>
      </c>
    </row>
    <row r="1569" spans="1:8">
      <c r="A1569" s="114" t="s">
        <v>73</v>
      </c>
      <c r="B1569">
        <v>2076</v>
      </c>
      <c r="C1569" s="114" t="s">
        <v>87</v>
      </c>
      <c r="D1569" s="92">
        <v>45198</v>
      </c>
      <c r="E1569">
        <v>1100</v>
      </c>
      <c r="F1569" s="114" t="s">
        <v>91</v>
      </c>
      <c r="G1569" s="204" t="s">
        <v>437</v>
      </c>
      <c r="H1569" s="92">
        <v>45198</v>
      </c>
    </row>
    <row r="1570" spans="1:8">
      <c r="A1570" s="114" t="s">
        <v>115</v>
      </c>
      <c r="B1570">
        <v>4060</v>
      </c>
      <c r="C1570" s="114" t="s">
        <v>129</v>
      </c>
      <c r="D1570" s="92">
        <v>45198</v>
      </c>
      <c r="E1570">
        <v>500</v>
      </c>
      <c r="F1570" s="114" t="s">
        <v>142</v>
      </c>
      <c r="G1570" s="204" t="s">
        <v>437</v>
      </c>
      <c r="H1570" s="92">
        <v>45198</v>
      </c>
    </row>
    <row r="1571" spans="1:8">
      <c r="A1571" s="114" t="s">
        <v>73</v>
      </c>
      <c r="B1571">
        <v>2077</v>
      </c>
      <c r="C1571" s="114" t="s">
        <v>292</v>
      </c>
      <c r="D1571" s="92">
        <v>45198</v>
      </c>
      <c r="E1571">
        <v>2900</v>
      </c>
      <c r="F1571" s="114" t="s">
        <v>107</v>
      </c>
      <c r="G1571" s="204" t="s">
        <v>437</v>
      </c>
      <c r="H1571" s="92">
        <v>45198</v>
      </c>
    </row>
    <row r="1572" spans="1:8">
      <c r="A1572" s="114" t="s">
        <v>115</v>
      </c>
      <c r="B1572">
        <v>4061</v>
      </c>
      <c r="C1572" s="114" t="s">
        <v>132</v>
      </c>
      <c r="D1572" s="92">
        <v>45198</v>
      </c>
      <c r="E1572">
        <v>4000</v>
      </c>
      <c r="F1572" s="114" t="s">
        <v>135</v>
      </c>
      <c r="G1572" s="204" t="s">
        <v>437</v>
      </c>
      <c r="H1572" s="92">
        <v>45198</v>
      </c>
    </row>
    <row r="1573" spans="1:8">
      <c r="A1573" s="114" t="s">
        <v>115</v>
      </c>
      <c r="B1573">
        <v>4062</v>
      </c>
      <c r="C1573" s="114" t="s">
        <v>141</v>
      </c>
      <c r="D1573" s="92">
        <v>45198</v>
      </c>
      <c r="E1573">
        <v>2100</v>
      </c>
      <c r="F1573" s="114" t="s">
        <v>142</v>
      </c>
      <c r="G1573" s="204" t="s">
        <v>437</v>
      </c>
      <c r="H1573" s="92">
        <v>45198</v>
      </c>
    </row>
    <row r="1574" spans="1:8">
      <c r="A1574" s="114" t="s">
        <v>73</v>
      </c>
      <c r="B1574">
        <v>2078</v>
      </c>
      <c r="C1574" s="114" t="s">
        <v>321</v>
      </c>
      <c r="D1574" s="92">
        <v>45198</v>
      </c>
      <c r="E1574">
        <v>2100</v>
      </c>
      <c r="F1574" s="114" t="s">
        <v>8</v>
      </c>
      <c r="G1574" s="204" t="s">
        <v>437</v>
      </c>
      <c r="H1574" s="92">
        <v>45198</v>
      </c>
    </row>
    <row r="1575" spans="1:8">
      <c r="A1575" s="114" t="s">
        <v>73</v>
      </c>
      <c r="B1575">
        <v>2079</v>
      </c>
      <c r="C1575" s="87" t="s">
        <v>207</v>
      </c>
      <c r="D1575" s="92">
        <v>45198</v>
      </c>
      <c r="E1575">
        <v>9000</v>
      </c>
      <c r="F1575" s="87" t="s">
        <v>93</v>
      </c>
      <c r="G1575" s="204" t="s">
        <v>437</v>
      </c>
      <c r="H1575" s="92">
        <v>45198</v>
      </c>
    </row>
    <row r="1576" spans="1:8">
      <c r="A1576" s="114" t="s">
        <v>73</v>
      </c>
      <c r="B1576" s="207">
        <v>2080</v>
      </c>
      <c r="C1576" s="114" t="s">
        <v>81</v>
      </c>
      <c r="D1576" s="92">
        <v>45198</v>
      </c>
      <c r="E1576">
        <f>2000*6</f>
        <v>12000</v>
      </c>
      <c r="F1576" s="114" t="s">
        <v>92</v>
      </c>
      <c r="G1576" t="s">
        <v>439</v>
      </c>
      <c r="H1576" s="92">
        <v>45198</v>
      </c>
    </row>
    <row r="1577" spans="1:8">
      <c r="A1577" s="114" t="s">
        <v>115</v>
      </c>
      <c r="B1577">
        <v>4063</v>
      </c>
      <c r="C1577" s="114" t="s">
        <v>137</v>
      </c>
      <c r="D1577" s="92">
        <v>45198</v>
      </c>
      <c r="E1577">
        <v>4500</v>
      </c>
      <c r="F1577" s="114" t="s">
        <v>376</v>
      </c>
      <c r="G1577" s="204" t="s">
        <v>437</v>
      </c>
      <c r="H1577" s="92">
        <v>45198</v>
      </c>
    </row>
    <row r="1578" spans="1:8">
      <c r="A1578" s="114" t="s">
        <v>115</v>
      </c>
      <c r="B1578">
        <v>4064</v>
      </c>
      <c r="C1578" s="114" t="s">
        <v>149</v>
      </c>
      <c r="D1578" s="92">
        <v>45198</v>
      </c>
      <c r="E1578">
        <v>1500</v>
      </c>
      <c r="F1578" s="207" t="s">
        <v>8</v>
      </c>
      <c r="G1578" s="204" t="s">
        <v>437</v>
      </c>
      <c r="H1578" s="92">
        <v>45198</v>
      </c>
    </row>
    <row r="1579" spans="1:8">
      <c r="A1579" s="114" t="s">
        <v>73</v>
      </c>
      <c r="B1579">
        <v>2081</v>
      </c>
      <c r="C1579" s="114" t="s">
        <v>99</v>
      </c>
      <c r="D1579" s="92">
        <v>45198</v>
      </c>
      <c r="E1579">
        <v>3800</v>
      </c>
      <c r="F1579" s="114" t="s">
        <v>112</v>
      </c>
      <c r="G1579" s="204" t="s">
        <v>437</v>
      </c>
      <c r="H1579" s="92">
        <v>45198</v>
      </c>
    </row>
    <row r="1580" spans="1:8">
      <c r="A1580" s="114" t="s">
        <v>73</v>
      </c>
      <c r="B1580">
        <v>2082</v>
      </c>
      <c r="C1580" s="114" t="s">
        <v>80</v>
      </c>
      <c r="D1580" s="92">
        <v>45198</v>
      </c>
      <c r="E1580">
        <v>1600</v>
      </c>
      <c r="F1580" s="114" t="s">
        <v>3</v>
      </c>
      <c r="G1580" s="204" t="s">
        <v>437</v>
      </c>
      <c r="H1580" s="92">
        <v>45198</v>
      </c>
    </row>
    <row r="1581" spans="1:8">
      <c r="A1581" s="114" t="s">
        <v>73</v>
      </c>
      <c r="B1581">
        <v>2085</v>
      </c>
      <c r="C1581" s="114" t="s">
        <v>96</v>
      </c>
      <c r="D1581" s="92">
        <v>45198</v>
      </c>
      <c r="E1581">
        <v>3800</v>
      </c>
      <c r="F1581" s="114" t="s">
        <v>112</v>
      </c>
      <c r="G1581" s="204" t="s">
        <v>437</v>
      </c>
      <c r="H1581" s="92">
        <v>45198</v>
      </c>
    </row>
    <row r="1582" spans="1:8">
      <c r="A1582" s="114" t="s">
        <v>73</v>
      </c>
      <c r="B1582">
        <v>2086</v>
      </c>
      <c r="C1582" s="114" t="s">
        <v>378</v>
      </c>
      <c r="D1582" s="92">
        <v>45198</v>
      </c>
      <c r="E1582">
        <v>2500</v>
      </c>
      <c r="F1582" s="114" t="s">
        <v>8</v>
      </c>
      <c r="G1582" s="204" t="s">
        <v>437</v>
      </c>
      <c r="H1582" s="92">
        <v>45198</v>
      </c>
    </row>
    <row r="1583" spans="1:8">
      <c r="A1583" s="114" t="s">
        <v>115</v>
      </c>
      <c r="B1583">
        <v>4065</v>
      </c>
      <c r="C1583" s="114" t="s">
        <v>148</v>
      </c>
      <c r="D1583" s="92">
        <v>45198</v>
      </c>
      <c r="E1583">
        <v>4300</v>
      </c>
      <c r="F1583" s="114" t="s">
        <v>166</v>
      </c>
      <c r="G1583" s="204" t="s">
        <v>437</v>
      </c>
      <c r="H1583" s="92">
        <v>45198</v>
      </c>
    </row>
    <row r="1584" spans="1:8">
      <c r="A1584" s="114" t="s">
        <v>115</v>
      </c>
      <c r="B1584">
        <v>4066</v>
      </c>
      <c r="C1584" s="114" t="s">
        <v>138</v>
      </c>
      <c r="D1584" s="92">
        <v>45198</v>
      </c>
      <c r="E1584">
        <v>2900</v>
      </c>
      <c r="F1584" s="114" t="s">
        <v>135</v>
      </c>
      <c r="G1584" s="204" t="s">
        <v>437</v>
      </c>
      <c r="H1584" s="92">
        <v>45198</v>
      </c>
    </row>
    <row r="1585" spans="1:10">
      <c r="A1585" s="114" t="s">
        <v>73</v>
      </c>
      <c r="B1585">
        <v>2087</v>
      </c>
      <c r="C1585" s="114" t="s">
        <v>79</v>
      </c>
      <c r="D1585" s="92">
        <v>45198</v>
      </c>
      <c r="E1585">
        <v>1600</v>
      </c>
      <c r="F1585" s="114" t="s">
        <v>3</v>
      </c>
      <c r="G1585" s="204" t="s">
        <v>437</v>
      </c>
      <c r="H1585" s="92">
        <v>45198</v>
      </c>
    </row>
    <row r="1586" spans="1:10">
      <c r="A1586" s="114" t="s">
        <v>73</v>
      </c>
      <c r="B1586">
        <v>2088</v>
      </c>
      <c r="C1586" s="114" t="s">
        <v>106</v>
      </c>
      <c r="D1586" s="92">
        <v>45198</v>
      </c>
      <c r="E1586">
        <v>2900</v>
      </c>
      <c r="F1586" s="114" t="s">
        <v>107</v>
      </c>
      <c r="G1586" s="204" t="s">
        <v>437</v>
      </c>
      <c r="H1586" s="92">
        <v>45198</v>
      </c>
    </row>
    <row r="1587" spans="1:10">
      <c r="A1587" s="114" t="s">
        <v>115</v>
      </c>
      <c r="B1587">
        <v>4067</v>
      </c>
      <c r="C1587" s="114" t="s">
        <v>237</v>
      </c>
      <c r="D1587" s="92">
        <v>45198</v>
      </c>
      <c r="E1587">
        <v>8500</v>
      </c>
      <c r="F1587" s="114" t="s">
        <v>238</v>
      </c>
      <c r="G1587" s="204" t="s">
        <v>437</v>
      </c>
      <c r="H1587" s="92">
        <v>45198</v>
      </c>
    </row>
    <row r="1588" spans="1:10">
      <c r="A1588" s="114" t="s">
        <v>115</v>
      </c>
      <c r="B1588">
        <v>4068</v>
      </c>
      <c r="C1588" s="114" t="s">
        <v>146</v>
      </c>
      <c r="D1588" s="92">
        <v>45198</v>
      </c>
      <c r="E1588">
        <v>2000</v>
      </c>
      <c r="F1588" s="114" t="s">
        <v>8</v>
      </c>
      <c r="G1588" s="204" t="s">
        <v>437</v>
      </c>
      <c r="H1588" s="92">
        <v>45198</v>
      </c>
    </row>
    <row r="1589" spans="1:10">
      <c r="A1589" s="114" t="s">
        <v>115</v>
      </c>
      <c r="B1589">
        <v>4069</v>
      </c>
      <c r="C1589" s="114" t="s">
        <v>315</v>
      </c>
      <c r="D1589" s="92">
        <v>45198</v>
      </c>
      <c r="E1589">
        <v>3100</v>
      </c>
      <c r="F1589" s="114" t="s">
        <v>157</v>
      </c>
      <c r="G1589" s="204" t="s">
        <v>437</v>
      </c>
      <c r="H1589" s="92">
        <v>45198</v>
      </c>
    </row>
    <row r="1590" spans="1:10">
      <c r="A1590" s="114" t="s">
        <v>115</v>
      </c>
      <c r="B1590">
        <v>4070</v>
      </c>
      <c r="C1590" s="114" t="s">
        <v>344</v>
      </c>
      <c r="D1590" s="92">
        <v>45199</v>
      </c>
      <c r="E1590">
        <v>3500</v>
      </c>
      <c r="F1590" s="114" t="s">
        <v>8</v>
      </c>
      <c r="G1590" s="204" t="s">
        <v>437</v>
      </c>
      <c r="H1590" s="92">
        <v>45199</v>
      </c>
    </row>
    <row r="1591" spans="1:10">
      <c r="A1591" s="114" t="s">
        <v>73</v>
      </c>
      <c r="B1591">
        <v>2090</v>
      </c>
      <c r="C1591" s="114" t="s">
        <v>110</v>
      </c>
      <c r="D1591" s="92">
        <v>45199</v>
      </c>
      <c r="E1591">
        <v>2900</v>
      </c>
      <c r="F1591" s="114" t="s">
        <v>107</v>
      </c>
      <c r="G1591" s="204" t="s">
        <v>437</v>
      </c>
      <c r="H1591" s="92">
        <v>45199</v>
      </c>
    </row>
    <row r="1592" spans="1:10">
      <c r="A1592" s="114" t="s">
        <v>115</v>
      </c>
      <c r="B1592">
        <v>4071</v>
      </c>
      <c r="C1592" s="114" t="s">
        <v>289</v>
      </c>
      <c r="D1592" s="92">
        <v>45199</v>
      </c>
      <c r="E1592">
        <v>2300</v>
      </c>
      <c r="F1592" s="114" t="s">
        <v>290</v>
      </c>
      <c r="G1592" s="204" t="s">
        <v>437</v>
      </c>
      <c r="H1592" s="92">
        <v>45199</v>
      </c>
    </row>
    <row r="1593" spans="1:10">
      <c r="A1593" s="114" t="s">
        <v>73</v>
      </c>
      <c r="B1593">
        <v>2091</v>
      </c>
      <c r="C1593" t="s">
        <v>356</v>
      </c>
      <c r="D1593" s="92">
        <v>45199</v>
      </c>
      <c r="E1593">
        <v>6000</v>
      </c>
      <c r="F1593" t="s">
        <v>357</v>
      </c>
      <c r="G1593" s="204" t="s">
        <v>437</v>
      </c>
      <c r="H1593" s="92">
        <v>45199</v>
      </c>
    </row>
    <row r="1594" spans="1:10">
      <c r="A1594" s="114" t="s">
        <v>115</v>
      </c>
      <c r="B1594">
        <v>4072</v>
      </c>
      <c r="C1594" s="114" t="s">
        <v>127</v>
      </c>
      <c r="D1594" s="92">
        <v>45199</v>
      </c>
      <c r="E1594">
        <v>5800</v>
      </c>
      <c r="F1594" s="114" t="s">
        <v>157</v>
      </c>
      <c r="G1594" s="204" t="s">
        <v>437</v>
      </c>
      <c r="H1594" s="92">
        <v>45199</v>
      </c>
    </row>
    <row r="1595" spans="1:10">
      <c r="A1595" s="114" t="s">
        <v>115</v>
      </c>
      <c r="B1595">
        <v>4059</v>
      </c>
      <c r="C1595" t="s">
        <v>416</v>
      </c>
      <c r="D1595" s="92">
        <v>45198</v>
      </c>
      <c r="E1595">
        <v>10500</v>
      </c>
      <c r="F1595" t="s">
        <v>290</v>
      </c>
      <c r="G1595" s="204" t="s">
        <v>437</v>
      </c>
      <c r="H1595" s="92">
        <v>45198</v>
      </c>
    </row>
    <row r="1596" spans="1:10">
      <c r="A1596" s="114" t="s">
        <v>115</v>
      </c>
      <c r="B1596">
        <v>4047</v>
      </c>
      <c r="C1596" t="s">
        <v>417</v>
      </c>
      <c r="D1596" s="92">
        <v>45197</v>
      </c>
      <c r="E1596">
        <v>1500</v>
      </c>
      <c r="F1596" t="s">
        <v>8</v>
      </c>
      <c r="G1596" s="224" t="s">
        <v>437</v>
      </c>
      <c r="H1596" s="92">
        <v>45197</v>
      </c>
    </row>
    <row r="1597" spans="1:10">
      <c r="A1597" s="114" t="s">
        <v>115</v>
      </c>
      <c r="B1597" s="61">
        <v>4057</v>
      </c>
      <c r="C1597" s="114" t="s">
        <v>140</v>
      </c>
      <c r="D1597" s="92">
        <v>45199</v>
      </c>
      <c r="E1597">
        <v>53600</v>
      </c>
      <c r="F1597" s="114" t="s">
        <v>25</v>
      </c>
      <c r="G1597" t="s">
        <v>438</v>
      </c>
      <c r="H1597" s="92">
        <v>45199</v>
      </c>
    </row>
    <row r="1598" spans="1:10">
      <c r="A1598" s="114" t="s">
        <v>115</v>
      </c>
      <c r="B1598" s="61">
        <v>4055</v>
      </c>
      <c r="C1598" s="219" t="s">
        <v>153</v>
      </c>
      <c r="D1598" s="92">
        <v>45197</v>
      </c>
      <c r="E1598">
        <v>6600</v>
      </c>
      <c r="F1598" s="114" t="s">
        <v>168</v>
      </c>
      <c r="G1598" t="s">
        <v>438</v>
      </c>
      <c r="H1598" s="92">
        <v>45197</v>
      </c>
      <c r="J1598" t="s">
        <v>440</v>
      </c>
    </row>
    <row r="1599" spans="1:10">
      <c r="A1599" s="114" t="s">
        <v>115</v>
      </c>
      <c r="B1599" s="207">
        <v>4056</v>
      </c>
      <c r="C1599" s="220" t="s">
        <v>154</v>
      </c>
      <c r="D1599" s="92">
        <v>45197</v>
      </c>
      <c r="E1599" s="201">
        <f>(2700*3)</f>
        <v>8100</v>
      </c>
      <c r="F1599" s="87" t="s">
        <v>168</v>
      </c>
      <c r="G1599" t="s">
        <v>438</v>
      </c>
      <c r="H1599" s="92">
        <v>45197</v>
      </c>
      <c r="J1599" s="216" t="s">
        <v>441</v>
      </c>
    </row>
    <row r="1600" spans="1:10">
      <c r="A1600" s="114" t="s">
        <v>73</v>
      </c>
      <c r="B1600" s="207">
        <v>2071</v>
      </c>
      <c r="C1600" s="114" t="s">
        <v>354</v>
      </c>
      <c r="D1600" s="92">
        <v>45197</v>
      </c>
      <c r="E1600">
        <v>7500</v>
      </c>
      <c r="F1600" s="114" t="s">
        <v>8</v>
      </c>
      <c r="G1600" t="s">
        <v>438</v>
      </c>
      <c r="H1600" s="92">
        <v>45197</v>
      </c>
    </row>
    <row r="1601" spans="1:10">
      <c r="A1601" s="114" t="s">
        <v>115</v>
      </c>
      <c r="B1601" s="207">
        <v>4049</v>
      </c>
      <c r="C1601" s="114" t="s">
        <v>190</v>
      </c>
      <c r="D1601" s="92">
        <v>45197</v>
      </c>
      <c r="E1601">
        <v>9600</v>
      </c>
      <c r="F1601" s="114" t="s">
        <v>142</v>
      </c>
      <c r="G1601" t="s">
        <v>438</v>
      </c>
      <c r="H1601" s="92">
        <v>45197</v>
      </c>
    </row>
    <row r="1602" spans="1:10">
      <c r="A1602" s="114" t="s">
        <v>73</v>
      </c>
      <c r="B1602" s="207">
        <v>2083</v>
      </c>
      <c r="C1602" s="114" t="s">
        <v>77</v>
      </c>
      <c r="D1602" s="92">
        <v>45198</v>
      </c>
      <c r="E1602" s="207">
        <v>2500</v>
      </c>
      <c r="F1602" s="207" t="s">
        <v>91</v>
      </c>
      <c r="G1602" t="s">
        <v>438</v>
      </c>
      <c r="H1602" s="92">
        <v>45198</v>
      </c>
    </row>
    <row r="1603" spans="1:10">
      <c r="A1603" s="114" t="s">
        <v>73</v>
      </c>
      <c r="B1603" s="207">
        <v>2084</v>
      </c>
      <c r="C1603" s="114" t="s">
        <v>86</v>
      </c>
      <c r="D1603" s="92">
        <v>45198</v>
      </c>
      <c r="E1603" s="114">
        <v>4800</v>
      </c>
      <c r="F1603" s="114" t="s">
        <v>8</v>
      </c>
      <c r="G1603" t="s">
        <v>438</v>
      </c>
      <c r="H1603" s="92">
        <v>45198</v>
      </c>
    </row>
    <row r="1604" spans="1:10">
      <c r="A1604" s="114" t="s">
        <v>73</v>
      </c>
      <c r="B1604" s="61">
        <v>2089</v>
      </c>
      <c r="C1604" s="114" t="s">
        <v>101</v>
      </c>
      <c r="D1604" s="92">
        <v>45199</v>
      </c>
      <c r="E1604">
        <f>1700*3</f>
        <v>5100</v>
      </c>
      <c r="F1604" s="114" t="s">
        <v>8</v>
      </c>
      <c r="G1604" t="s">
        <v>438</v>
      </c>
      <c r="H1604" s="92">
        <v>45199</v>
      </c>
    </row>
    <row r="1605" spans="1:10">
      <c r="A1605" s="114" t="s">
        <v>73</v>
      </c>
      <c r="B1605" s="207">
        <v>2072</v>
      </c>
      <c r="C1605" s="114" t="s">
        <v>102</v>
      </c>
      <c r="D1605" s="92">
        <v>45197</v>
      </c>
      <c r="E1605" s="207">
        <v>5800</v>
      </c>
      <c r="F1605" s="114" t="s">
        <v>8</v>
      </c>
      <c r="G1605" s="207" t="s">
        <v>439</v>
      </c>
      <c r="H1605" s="92">
        <v>45199</v>
      </c>
    </row>
    <row r="1606" spans="1:10">
      <c r="A1606" s="114" t="s">
        <v>73</v>
      </c>
      <c r="B1606" s="61">
        <v>2075</v>
      </c>
      <c r="C1606" s="114" t="s">
        <v>140</v>
      </c>
      <c r="D1606" s="92">
        <v>45199</v>
      </c>
      <c r="E1606" s="201">
        <v>39000</v>
      </c>
      <c r="F1606" s="114" t="s">
        <v>25</v>
      </c>
      <c r="G1606" t="s">
        <v>438</v>
      </c>
      <c r="H1606" s="92">
        <v>45199</v>
      </c>
    </row>
    <row r="1607" spans="1:10">
      <c r="A1607" s="207" t="s">
        <v>250</v>
      </c>
      <c r="B1607" s="61">
        <v>153</v>
      </c>
      <c r="C1607" s="207" t="s">
        <v>144</v>
      </c>
      <c r="D1607" s="92">
        <v>45222</v>
      </c>
      <c r="E1607">
        <f>16500*3</f>
        <v>49500</v>
      </c>
      <c r="F1607" s="207" t="s">
        <v>162</v>
      </c>
      <c r="G1607" t="s">
        <v>438</v>
      </c>
      <c r="H1607" s="92">
        <v>45222</v>
      </c>
    </row>
    <row r="1608" spans="1:10">
      <c r="A1608" s="114" t="s">
        <v>115</v>
      </c>
      <c r="B1608" s="61">
        <v>4073</v>
      </c>
      <c r="C1608" s="114" t="s">
        <v>170</v>
      </c>
      <c r="D1608" s="92">
        <v>45226</v>
      </c>
      <c r="E1608">
        <v>3400</v>
      </c>
      <c r="F1608" s="114" t="s">
        <v>161</v>
      </c>
      <c r="G1608" s="204" t="s">
        <v>444</v>
      </c>
      <c r="H1608" s="92">
        <v>45226</v>
      </c>
    </row>
    <row r="1609" spans="1:10">
      <c r="A1609" s="114" t="s">
        <v>73</v>
      </c>
      <c r="B1609">
        <v>2092</v>
      </c>
      <c r="C1609" s="114" t="s">
        <v>275</v>
      </c>
      <c r="D1609" s="92">
        <v>45226</v>
      </c>
      <c r="E1609">
        <v>5400</v>
      </c>
      <c r="F1609" s="114" t="s">
        <v>89</v>
      </c>
      <c r="G1609" s="204" t="s">
        <v>444</v>
      </c>
      <c r="H1609" s="92">
        <v>45226</v>
      </c>
      <c r="J1609" t="s">
        <v>445</v>
      </c>
    </row>
    <row r="1610" spans="1:10">
      <c r="A1610" s="114" t="s">
        <v>115</v>
      </c>
      <c r="B1610">
        <v>4074</v>
      </c>
      <c r="C1610" s="114" t="s">
        <v>131</v>
      </c>
      <c r="D1610" s="92">
        <v>45226</v>
      </c>
      <c r="E1610">
        <v>1200</v>
      </c>
      <c r="F1610" s="114" t="s">
        <v>142</v>
      </c>
      <c r="G1610" s="204" t="s">
        <v>444</v>
      </c>
      <c r="H1610" s="92">
        <v>45226</v>
      </c>
    </row>
    <row r="1611" spans="1:10">
      <c r="A1611" s="114" t="s">
        <v>115</v>
      </c>
      <c r="B1611">
        <v>4075</v>
      </c>
      <c r="C1611" s="114" t="s">
        <v>128</v>
      </c>
      <c r="D1611" s="92">
        <v>45226</v>
      </c>
      <c r="E1611">
        <v>12000</v>
      </c>
      <c r="F1611" s="114" t="s">
        <v>142</v>
      </c>
      <c r="G1611" s="204" t="s">
        <v>444</v>
      </c>
      <c r="H1611" s="92">
        <v>45226</v>
      </c>
    </row>
    <row r="1612" spans="1:10">
      <c r="A1612" s="114" t="s">
        <v>115</v>
      </c>
      <c r="B1612">
        <v>4076</v>
      </c>
      <c r="C1612" s="114" t="s">
        <v>134</v>
      </c>
      <c r="D1612" s="92">
        <v>45226</v>
      </c>
      <c r="E1612">
        <v>3300</v>
      </c>
      <c r="F1612" s="114" t="s">
        <v>135</v>
      </c>
      <c r="G1612" s="204" t="s">
        <v>444</v>
      </c>
      <c r="H1612" s="92">
        <v>45226</v>
      </c>
    </row>
    <row r="1613" spans="1:10">
      <c r="A1613" s="114" t="s">
        <v>73</v>
      </c>
      <c r="B1613">
        <v>2093</v>
      </c>
      <c r="C1613" s="114" t="s">
        <v>109</v>
      </c>
      <c r="D1613" s="92">
        <v>45226</v>
      </c>
      <c r="E1613">
        <v>2900</v>
      </c>
      <c r="F1613" s="114" t="s">
        <v>91</v>
      </c>
      <c r="G1613" s="204" t="s">
        <v>444</v>
      </c>
      <c r="H1613" s="92">
        <v>45226</v>
      </c>
    </row>
    <row r="1614" spans="1:10">
      <c r="A1614" s="114" t="s">
        <v>115</v>
      </c>
      <c r="B1614">
        <v>4077</v>
      </c>
      <c r="C1614" s="114" t="s">
        <v>147</v>
      </c>
      <c r="D1614" s="92">
        <v>45226</v>
      </c>
      <c r="E1614">
        <v>5800</v>
      </c>
      <c r="F1614" s="114" t="s">
        <v>89</v>
      </c>
      <c r="G1614" s="204" t="s">
        <v>444</v>
      </c>
      <c r="H1614" s="92">
        <v>45226</v>
      </c>
    </row>
    <row r="1615" spans="1:10">
      <c r="A1615" s="114" t="s">
        <v>115</v>
      </c>
      <c r="B1615">
        <v>4078</v>
      </c>
      <c r="C1615" s="114" t="s">
        <v>130</v>
      </c>
      <c r="D1615" s="92">
        <v>45226</v>
      </c>
      <c r="E1615">
        <v>1500</v>
      </c>
      <c r="F1615" s="114" t="s">
        <v>142</v>
      </c>
      <c r="G1615" s="204" t="s">
        <v>444</v>
      </c>
      <c r="H1615" s="92">
        <v>45226</v>
      </c>
    </row>
    <row r="1616" spans="1:10">
      <c r="A1616" s="114" t="s">
        <v>115</v>
      </c>
      <c r="B1616">
        <v>4079</v>
      </c>
      <c r="C1616" s="160" t="s">
        <v>152</v>
      </c>
      <c r="D1616" s="92">
        <v>45226</v>
      </c>
      <c r="E1616">
        <v>3600</v>
      </c>
      <c r="F1616" s="114" t="s">
        <v>164</v>
      </c>
      <c r="G1616" s="204" t="s">
        <v>444</v>
      </c>
      <c r="H1616" s="92">
        <v>45226</v>
      </c>
    </row>
    <row r="1617" spans="1:9">
      <c r="A1617" s="114" t="s">
        <v>73</v>
      </c>
      <c r="B1617">
        <v>2094</v>
      </c>
      <c r="C1617" s="114" t="s">
        <v>87</v>
      </c>
      <c r="D1617" s="92">
        <v>45226</v>
      </c>
      <c r="E1617">
        <v>1100</v>
      </c>
      <c r="F1617" s="114" t="s">
        <v>91</v>
      </c>
      <c r="G1617" s="204" t="s">
        <v>444</v>
      </c>
      <c r="H1617" s="92">
        <v>45226</v>
      </c>
    </row>
    <row r="1618" spans="1:9">
      <c r="A1618" s="114" t="s">
        <v>115</v>
      </c>
      <c r="B1618">
        <v>4080</v>
      </c>
      <c r="C1618" s="114" t="s">
        <v>129</v>
      </c>
      <c r="D1618" s="92">
        <v>45226</v>
      </c>
      <c r="E1618">
        <v>500</v>
      </c>
      <c r="F1618" s="114" t="s">
        <v>142</v>
      </c>
      <c r="G1618" s="204" t="s">
        <v>444</v>
      </c>
      <c r="H1618" s="92">
        <v>45226</v>
      </c>
    </row>
    <row r="1619" spans="1:9">
      <c r="A1619" s="114" t="s">
        <v>73</v>
      </c>
      <c r="B1619">
        <v>2095</v>
      </c>
      <c r="C1619" s="114" t="s">
        <v>292</v>
      </c>
      <c r="D1619" s="92">
        <v>45226</v>
      </c>
      <c r="E1619">
        <v>2900</v>
      </c>
      <c r="F1619" s="114" t="s">
        <v>107</v>
      </c>
      <c r="G1619" s="204" t="s">
        <v>444</v>
      </c>
      <c r="H1619" s="92">
        <v>45226</v>
      </c>
    </row>
    <row r="1620" spans="1:9">
      <c r="A1620" s="114" t="s">
        <v>115</v>
      </c>
      <c r="B1620">
        <v>4081</v>
      </c>
      <c r="C1620" s="114" t="s">
        <v>132</v>
      </c>
      <c r="D1620" s="92">
        <v>45226</v>
      </c>
      <c r="E1620">
        <v>4000</v>
      </c>
      <c r="F1620" s="114" t="s">
        <v>135</v>
      </c>
      <c r="G1620" s="204" t="s">
        <v>444</v>
      </c>
      <c r="H1620" s="92">
        <v>45226</v>
      </c>
      <c r="I1620" t="s">
        <v>446</v>
      </c>
    </row>
    <row r="1621" spans="1:9">
      <c r="A1621" s="114" t="s">
        <v>115</v>
      </c>
      <c r="B1621">
        <v>4082</v>
      </c>
      <c r="C1621" s="114" t="s">
        <v>141</v>
      </c>
      <c r="D1621" s="92">
        <v>45226</v>
      </c>
      <c r="E1621">
        <v>2100</v>
      </c>
      <c r="F1621" s="114" t="s">
        <v>142</v>
      </c>
      <c r="G1621" s="204" t="s">
        <v>444</v>
      </c>
      <c r="H1621" s="92">
        <v>45226</v>
      </c>
    </row>
    <row r="1622" spans="1:9">
      <c r="A1622" s="114" t="s">
        <v>73</v>
      </c>
      <c r="B1622">
        <v>2096</v>
      </c>
      <c r="C1622" s="114" t="s">
        <v>321</v>
      </c>
      <c r="D1622" s="92">
        <v>45226</v>
      </c>
      <c r="E1622">
        <v>2100</v>
      </c>
      <c r="F1622" s="114" t="s">
        <v>8</v>
      </c>
      <c r="G1622" s="204" t="s">
        <v>444</v>
      </c>
      <c r="H1622" s="92">
        <v>45226</v>
      </c>
    </row>
    <row r="1623" spans="1:9">
      <c r="A1623" s="114" t="s">
        <v>73</v>
      </c>
      <c r="B1623">
        <v>2097</v>
      </c>
      <c r="C1623" s="87" t="s">
        <v>207</v>
      </c>
      <c r="D1623" s="92">
        <v>45226</v>
      </c>
      <c r="E1623">
        <v>9000</v>
      </c>
      <c r="F1623" s="87" t="s">
        <v>93</v>
      </c>
      <c r="G1623" s="204" t="s">
        <v>444</v>
      </c>
      <c r="H1623" s="92">
        <v>45226</v>
      </c>
    </row>
    <row r="1624" spans="1:9">
      <c r="A1624" s="114" t="s">
        <v>73</v>
      </c>
      <c r="B1624" s="207">
        <v>2098</v>
      </c>
      <c r="C1624" s="114" t="s">
        <v>81</v>
      </c>
      <c r="D1624" s="92">
        <v>45226</v>
      </c>
      <c r="E1624">
        <v>2000</v>
      </c>
      <c r="F1624" s="114" t="s">
        <v>92</v>
      </c>
      <c r="G1624" s="204" t="s">
        <v>444</v>
      </c>
      <c r="H1624" s="92">
        <v>45226</v>
      </c>
    </row>
    <row r="1625" spans="1:9">
      <c r="A1625" s="114" t="s">
        <v>115</v>
      </c>
      <c r="B1625">
        <v>4083</v>
      </c>
      <c r="C1625" s="114" t="s">
        <v>137</v>
      </c>
      <c r="D1625" s="92">
        <v>45226</v>
      </c>
      <c r="E1625">
        <v>4500</v>
      </c>
      <c r="F1625" s="114" t="s">
        <v>376</v>
      </c>
      <c r="G1625" s="204" t="s">
        <v>444</v>
      </c>
      <c r="H1625" s="92">
        <v>45226</v>
      </c>
    </row>
    <row r="1626" spans="1:9">
      <c r="A1626" s="114" t="s">
        <v>115</v>
      </c>
      <c r="B1626">
        <v>4084</v>
      </c>
      <c r="C1626" s="114" t="s">
        <v>149</v>
      </c>
      <c r="D1626" s="92">
        <v>45226</v>
      </c>
      <c r="E1626">
        <v>1500</v>
      </c>
      <c r="F1626" s="207" t="s">
        <v>8</v>
      </c>
      <c r="G1626" s="204" t="s">
        <v>444</v>
      </c>
      <c r="H1626" s="92">
        <v>45226</v>
      </c>
    </row>
    <row r="1627" spans="1:9">
      <c r="A1627" s="114" t="s">
        <v>73</v>
      </c>
      <c r="B1627" s="61">
        <v>2099</v>
      </c>
      <c r="C1627" s="114" t="s">
        <v>99</v>
      </c>
      <c r="D1627" s="92">
        <v>45226</v>
      </c>
      <c r="E1627">
        <v>3800</v>
      </c>
      <c r="F1627" s="114" t="s">
        <v>112</v>
      </c>
      <c r="G1627" s="204" t="s">
        <v>444</v>
      </c>
      <c r="H1627" s="92">
        <v>45226</v>
      </c>
    </row>
    <row r="1628" spans="1:9">
      <c r="A1628" s="114" t="s">
        <v>73</v>
      </c>
      <c r="B1628">
        <f>2099+1</f>
        <v>2100</v>
      </c>
      <c r="C1628" s="114" t="s">
        <v>80</v>
      </c>
      <c r="D1628" s="92">
        <v>45226</v>
      </c>
      <c r="E1628">
        <v>1600</v>
      </c>
      <c r="F1628" s="114" t="s">
        <v>3</v>
      </c>
      <c r="G1628" s="204" t="s">
        <v>444</v>
      </c>
      <c r="H1628" s="92">
        <v>45226</v>
      </c>
    </row>
    <row r="1629" spans="1:9">
      <c r="A1629" s="114" t="s">
        <v>73</v>
      </c>
      <c r="B1629">
        <v>2124</v>
      </c>
      <c r="C1629" s="114" t="s">
        <v>96</v>
      </c>
      <c r="D1629" s="92">
        <v>45226</v>
      </c>
      <c r="E1629">
        <v>3800</v>
      </c>
      <c r="F1629" s="114" t="s">
        <v>112</v>
      </c>
      <c r="G1629" s="204" t="s">
        <v>444</v>
      </c>
      <c r="H1629" s="92">
        <v>45226</v>
      </c>
    </row>
    <row r="1630" spans="1:9">
      <c r="A1630" s="114" t="s">
        <v>73</v>
      </c>
      <c r="B1630">
        <v>2125</v>
      </c>
      <c r="C1630" s="114" t="s">
        <v>378</v>
      </c>
      <c r="D1630" s="92">
        <v>45226</v>
      </c>
      <c r="E1630">
        <v>2500</v>
      </c>
      <c r="F1630" s="114" t="s">
        <v>8</v>
      </c>
      <c r="G1630" s="204" t="s">
        <v>444</v>
      </c>
      <c r="H1630" s="92">
        <v>45226</v>
      </c>
    </row>
    <row r="1631" spans="1:9">
      <c r="A1631" s="114" t="s">
        <v>115</v>
      </c>
      <c r="B1631">
        <v>4085</v>
      </c>
      <c r="C1631" s="114" t="s">
        <v>148</v>
      </c>
      <c r="D1631" s="92">
        <v>45226</v>
      </c>
      <c r="E1631">
        <v>4300</v>
      </c>
      <c r="F1631" s="114" t="s">
        <v>166</v>
      </c>
      <c r="G1631" s="204" t="s">
        <v>444</v>
      </c>
      <c r="H1631" s="92">
        <v>45226</v>
      </c>
    </row>
    <row r="1632" spans="1:9">
      <c r="A1632" s="114" t="s">
        <v>115</v>
      </c>
      <c r="B1632">
        <v>4086</v>
      </c>
      <c r="C1632" s="114" t="s">
        <v>138</v>
      </c>
      <c r="D1632" s="92">
        <v>45226</v>
      </c>
      <c r="E1632">
        <v>2900</v>
      </c>
      <c r="F1632" s="114" t="s">
        <v>135</v>
      </c>
      <c r="G1632" s="204" t="s">
        <v>444</v>
      </c>
      <c r="H1632" s="92">
        <v>45226</v>
      </c>
    </row>
    <row r="1633" spans="1:9">
      <c r="A1633" s="114" t="s">
        <v>73</v>
      </c>
      <c r="B1633">
        <v>2126</v>
      </c>
      <c r="C1633" s="114" t="s">
        <v>79</v>
      </c>
      <c r="D1633" s="92">
        <v>45226</v>
      </c>
      <c r="E1633">
        <v>1600</v>
      </c>
      <c r="F1633" s="114" t="s">
        <v>3</v>
      </c>
      <c r="G1633" s="204" t="s">
        <v>444</v>
      </c>
      <c r="H1633" s="92">
        <v>45226</v>
      </c>
    </row>
    <row r="1634" spans="1:9">
      <c r="A1634" s="114" t="s">
        <v>73</v>
      </c>
      <c r="B1634">
        <v>2127</v>
      </c>
      <c r="C1634" s="114" t="s">
        <v>106</v>
      </c>
      <c r="D1634" s="92">
        <v>45226</v>
      </c>
      <c r="E1634">
        <v>2900</v>
      </c>
      <c r="F1634" s="114" t="s">
        <v>107</v>
      </c>
      <c r="G1634" s="204" t="s">
        <v>444</v>
      </c>
      <c r="H1634" s="92">
        <v>45226</v>
      </c>
    </row>
    <row r="1635" spans="1:9">
      <c r="A1635" s="114" t="s">
        <v>115</v>
      </c>
      <c r="B1635">
        <v>4087</v>
      </c>
      <c r="C1635" s="114" t="s">
        <v>237</v>
      </c>
      <c r="D1635" s="92">
        <v>45226</v>
      </c>
      <c r="E1635">
        <v>8500</v>
      </c>
      <c r="F1635" s="114" t="s">
        <v>238</v>
      </c>
      <c r="G1635" s="204" t="s">
        <v>444</v>
      </c>
      <c r="H1635" s="92">
        <v>45226</v>
      </c>
    </row>
    <row r="1636" spans="1:9">
      <c r="A1636" s="114" t="s">
        <v>115</v>
      </c>
      <c r="B1636">
        <v>4088</v>
      </c>
      <c r="C1636" s="114" t="s">
        <v>146</v>
      </c>
      <c r="D1636" s="92">
        <v>45226</v>
      </c>
      <c r="E1636">
        <v>2000</v>
      </c>
      <c r="F1636" s="114" t="s">
        <v>8</v>
      </c>
      <c r="G1636" s="204" t="s">
        <v>444</v>
      </c>
      <c r="H1636" s="92">
        <v>45226</v>
      </c>
    </row>
    <row r="1637" spans="1:9">
      <c r="A1637" s="114" t="s">
        <v>115</v>
      </c>
      <c r="B1637">
        <v>4089</v>
      </c>
      <c r="C1637" s="114" t="s">
        <v>315</v>
      </c>
      <c r="D1637" s="92">
        <v>45227</v>
      </c>
      <c r="E1637">
        <v>3100</v>
      </c>
      <c r="F1637" s="114" t="s">
        <v>157</v>
      </c>
      <c r="G1637" s="204" t="s">
        <v>444</v>
      </c>
      <c r="H1637" s="92">
        <v>45227</v>
      </c>
    </row>
    <row r="1638" spans="1:9">
      <c r="A1638" s="114" t="s">
        <v>115</v>
      </c>
      <c r="B1638">
        <v>4090</v>
      </c>
      <c r="C1638" s="114" t="s">
        <v>344</v>
      </c>
      <c r="D1638" s="92">
        <v>45227</v>
      </c>
      <c r="E1638">
        <v>3500</v>
      </c>
      <c r="F1638" s="114" t="s">
        <v>8</v>
      </c>
      <c r="G1638" s="204" t="s">
        <v>444</v>
      </c>
      <c r="H1638" s="92">
        <v>45227</v>
      </c>
    </row>
    <row r="1639" spans="1:9">
      <c r="A1639" s="114" t="s">
        <v>73</v>
      </c>
      <c r="B1639">
        <v>2128</v>
      </c>
      <c r="C1639" s="114" t="s">
        <v>110</v>
      </c>
      <c r="D1639" s="92">
        <v>45227</v>
      </c>
      <c r="E1639">
        <v>2900</v>
      </c>
      <c r="F1639" s="114" t="s">
        <v>107</v>
      </c>
      <c r="G1639" s="204" t="s">
        <v>444</v>
      </c>
      <c r="H1639" s="92">
        <v>45227</v>
      </c>
    </row>
    <row r="1640" spans="1:9">
      <c r="A1640" s="114" t="s">
        <v>115</v>
      </c>
      <c r="B1640">
        <v>4091</v>
      </c>
      <c r="C1640" s="114" t="s">
        <v>289</v>
      </c>
      <c r="D1640" s="92">
        <v>45227</v>
      </c>
      <c r="E1640">
        <v>2300</v>
      </c>
      <c r="F1640" s="114" t="s">
        <v>290</v>
      </c>
      <c r="G1640" s="204" t="s">
        <v>444</v>
      </c>
      <c r="H1640" s="92">
        <v>45227</v>
      </c>
    </row>
    <row r="1641" spans="1:9">
      <c r="A1641" s="114" t="s">
        <v>73</v>
      </c>
      <c r="B1641">
        <v>2129</v>
      </c>
      <c r="C1641" t="s">
        <v>356</v>
      </c>
      <c r="D1641" s="92">
        <v>45227</v>
      </c>
      <c r="E1641">
        <v>6000</v>
      </c>
      <c r="F1641" t="s">
        <v>357</v>
      </c>
      <c r="G1641" s="204" t="s">
        <v>444</v>
      </c>
      <c r="H1641" s="92">
        <v>45227</v>
      </c>
    </row>
    <row r="1642" spans="1:9">
      <c r="A1642" s="114" t="s">
        <v>115</v>
      </c>
      <c r="B1642">
        <v>4092</v>
      </c>
      <c r="C1642" s="114" t="s">
        <v>127</v>
      </c>
      <c r="D1642" s="92">
        <v>45227</v>
      </c>
      <c r="E1642">
        <v>5800</v>
      </c>
      <c r="F1642" s="114" t="s">
        <v>157</v>
      </c>
      <c r="G1642" s="204" t="s">
        <v>444</v>
      </c>
      <c r="H1642" s="92">
        <v>45227</v>
      </c>
    </row>
    <row r="1643" spans="1:9">
      <c r="A1643" s="114" t="s">
        <v>115</v>
      </c>
      <c r="B1643">
        <v>4093</v>
      </c>
      <c r="C1643" t="s">
        <v>416</v>
      </c>
      <c r="D1643" s="92">
        <v>45226</v>
      </c>
      <c r="E1643">
        <v>10500</v>
      </c>
      <c r="F1643" t="s">
        <v>290</v>
      </c>
      <c r="G1643" s="204" t="s">
        <v>444</v>
      </c>
      <c r="H1643" s="92">
        <v>45226</v>
      </c>
    </row>
    <row r="1644" spans="1:9">
      <c r="A1644" s="114" t="s">
        <v>115</v>
      </c>
      <c r="B1644">
        <v>4094</v>
      </c>
      <c r="C1644" t="s">
        <v>417</v>
      </c>
      <c r="D1644" s="92">
        <v>45226</v>
      </c>
      <c r="E1644">
        <v>1500</v>
      </c>
      <c r="F1644" t="s">
        <v>8</v>
      </c>
      <c r="G1644" s="204" t="s">
        <v>444</v>
      </c>
      <c r="H1644" s="92">
        <v>45226</v>
      </c>
      <c r="I1644" t="s">
        <v>448</v>
      </c>
    </row>
    <row r="1645" spans="1:9">
      <c r="A1645" s="207" t="s">
        <v>73</v>
      </c>
      <c r="B1645" s="61">
        <v>2130</v>
      </c>
      <c r="C1645" s="114" t="s">
        <v>140</v>
      </c>
      <c r="D1645" s="92">
        <v>45236</v>
      </c>
      <c r="E1645" s="201">
        <v>12000</v>
      </c>
      <c r="F1645" s="114" t="s">
        <v>25</v>
      </c>
      <c r="G1645" t="s">
        <v>284</v>
      </c>
      <c r="H1645" s="92">
        <v>45236</v>
      </c>
    </row>
    <row r="1646" spans="1:9">
      <c r="A1646" s="207" t="s">
        <v>250</v>
      </c>
      <c r="B1646" s="61">
        <v>155</v>
      </c>
      <c r="C1646" t="s">
        <v>144</v>
      </c>
      <c r="D1646" s="92">
        <v>45248</v>
      </c>
      <c r="E1646">
        <v>16500</v>
      </c>
      <c r="F1646" s="207" t="s">
        <v>162</v>
      </c>
      <c r="G1646" s="204" t="s">
        <v>444</v>
      </c>
      <c r="H1646" s="92">
        <v>45248</v>
      </c>
    </row>
    <row r="1647" spans="1:9">
      <c r="A1647" s="114" t="s">
        <v>115</v>
      </c>
      <c r="B1647" s="61">
        <v>4095</v>
      </c>
      <c r="C1647" s="114" t="s">
        <v>170</v>
      </c>
      <c r="D1647" s="92">
        <v>45257</v>
      </c>
      <c r="E1647">
        <v>3400</v>
      </c>
      <c r="F1647" s="114" t="s">
        <v>161</v>
      </c>
      <c r="G1647" s="204" t="s">
        <v>447</v>
      </c>
      <c r="H1647" s="92">
        <v>45257</v>
      </c>
    </row>
    <row r="1648" spans="1:9">
      <c r="A1648" s="114" t="s">
        <v>73</v>
      </c>
      <c r="B1648">
        <v>2131</v>
      </c>
      <c r="C1648" s="114" t="s">
        <v>275</v>
      </c>
      <c r="D1648" s="92">
        <v>45257</v>
      </c>
      <c r="E1648">
        <v>5400</v>
      </c>
      <c r="F1648" s="114" t="s">
        <v>89</v>
      </c>
      <c r="G1648" s="204" t="s">
        <v>447</v>
      </c>
      <c r="H1648" s="92">
        <v>45257</v>
      </c>
    </row>
    <row r="1649" spans="1:8">
      <c r="A1649" s="114" t="s">
        <v>115</v>
      </c>
      <c r="B1649">
        <v>4096</v>
      </c>
      <c r="C1649" s="114" t="s">
        <v>131</v>
      </c>
      <c r="D1649" s="92">
        <v>45257</v>
      </c>
      <c r="E1649">
        <v>1200</v>
      </c>
      <c r="F1649" s="114" t="s">
        <v>142</v>
      </c>
      <c r="G1649" s="204" t="s">
        <v>447</v>
      </c>
      <c r="H1649" s="92">
        <v>45257</v>
      </c>
    </row>
    <row r="1650" spans="1:8">
      <c r="A1650" s="114" t="s">
        <v>115</v>
      </c>
      <c r="B1650">
        <v>4097</v>
      </c>
      <c r="C1650" s="114" t="s">
        <v>128</v>
      </c>
      <c r="D1650" s="92">
        <v>45257</v>
      </c>
      <c r="E1650">
        <v>12000</v>
      </c>
      <c r="F1650" s="114" t="s">
        <v>142</v>
      </c>
      <c r="G1650" s="204" t="s">
        <v>447</v>
      </c>
      <c r="H1650" s="92">
        <v>45257</v>
      </c>
    </row>
    <row r="1651" spans="1:8">
      <c r="A1651" s="114" t="s">
        <v>115</v>
      </c>
      <c r="B1651">
        <v>4098</v>
      </c>
      <c r="C1651" s="114" t="s">
        <v>134</v>
      </c>
      <c r="D1651" s="92">
        <v>45257</v>
      </c>
      <c r="E1651">
        <v>3300</v>
      </c>
      <c r="F1651" s="114" t="s">
        <v>135</v>
      </c>
      <c r="G1651" s="204" t="s">
        <v>447</v>
      </c>
      <c r="H1651" s="92">
        <v>45257</v>
      </c>
    </row>
    <row r="1652" spans="1:8">
      <c r="A1652" s="114" t="s">
        <v>73</v>
      </c>
      <c r="B1652">
        <v>2132</v>
      </c>
      <c r="C1652" s="114" t="s">
        <v>109</v>
      </c>
      <c r="D1652" s="92">
        <v>45257</v>
      </c>
      <c r="E1652">
        <v>2900</v>
      </c>
      <c r="F1652" s="114" t="s">
        <v>91</v>
      </c>
      <c r="G1652" s="204" t="s">
        <v>447</v>
      </c>
      <c r="H1652" s="92">
        <v>45257</v>
      </c>
    </row>
    <row r="1653" spans="1:8">
      <c r="A1653" s="114" t="s">
        <v>115</v>
      </c>
      <c r="B1653">
        <v>4099</v>
      </c>
      <c r="C1653" s="114" t="s">
        <v>147</v>
      </c>
      <c r="D1653" s="92">
        <v>45257</v>
      </c>
      <c r="E1653">
        <v>5800</v>
      </c>
      <c r="F1653" s="114" t="s">
        <v>89</v>
      </c>
      <c r="G1653" s="204" t="s">
        <v>447</v>
      </c>
      <c r="H1653" s="92">
        <v>45257</v>
      </c>
    </row>
    <row r="1654" spans="1:8">
      <c r="A1654" s="114" t="s">
        <v>115</v>
      </c>
      <c r="B1654">
        <v>4100</v>
      </c>
      <c r="C1654" s="114" t="s">
        <v>130</v>
      </c>
      <c r="D1654" s="92">
        <v>45257</v>
      </c>
      <c r="E1654">
        <v>1500</v>
      </c>
      <c r="F1654" s="114" t="s">
        <v>142</v>
      </c>
      <c r="G1654" s="204" t="s">
        <v>447</v>
      </c>
      <c r="H1654" s="92">
        <v>45257</v>
      </c>
    </row>
    <row r="1655" spans="1:8">
      <c r="A1655" s="114" t="s">
        <v>115</v>
      </c>
      <c r="B1655">
        <v>4101</v>
      </c>
      <c r="C1655" s="160" t="s">
        <v>152</v>
      </c>
      <c r="D1655" s="92">
        <v>45257</v>
      </c>
      <c r="E1655">
        <v>3600</v>
      </c>
      <c r="F1655" s="114" t="s">
        <v>164</v>
      </c>
      <c r="G1655" s="204" t="s">
        <v>447</v>
      </c>
      <c r="H1655" s="92">
        <v>45257</v>
      </c>
    </row>
    <row r="1656" spans="1:8">
      <c r="A1656" s="114" t="s">
        <v>73</v>
      </c>
      <c r="B1656">
        <v>2133</v>
      </c>
      <c r="C1656" s="114" t="s">
        <v>87</v>
      </c>
      <c r="D1656" s="92">
        <v>45257</v>
      </c>
      <c r="E1656">
        <v>1100</v>
      </c>
      <c r="F1656" s="114" t="s">
        <v>91</v>
      </c>
      <c r="G1656" s="204" t="s">
        <v>447</v>
      </c>
      <c r="H1656" s="92">
        <v>45257</v>
      </c>
    </row>
    <row r="1657" spans="1:8">
      <c r="A1657" s="114" t="s">
        <v>115</v>
      </c>
      <c r="B1657">
        <v>4102</v>
      </c>
      <c r="C1657" s="114" t="s">
        <v>129</v>
      </c>
      <c r="D1657" s="92">
        <v>45257</v>
      </c>
      <c r="E1657">
        <v>500</v>
      </c>
      <c r="F1657" s="114" t="s">
        <v>142</v>
      </c>
      <c r="G1657" s="204" t="s">
        <v>447</v>
      </c>
      <c r="H1657" s="92">
        <v>45257</v>
      </c>
    </row>
    <row r="1658" spans="1:8">
      <c r="A1658" s="114" t="s">
        <v>73</v>
      </c>
      <c r="B1658">
        <v>2134</v>
      </c>
      <c r="C1658" s="114" t="s">
        <v>292</v>
      </c>
      <c r="D1658" s="92">
        <v>45257</v>
      </c>
      <c r="E1658">
        <v>2900</v>
      </c>
      <c r="F1658" s="114" t="s">
        <v>107</v>
      </c>
      <c r="G1658" s="204" t="s">
        <v>447</v>
      </c>
      <c r="H1658" s="92">
        <v>45257</v>
      </c>
    </row>
    <row r="1659" spans="1:8">
      <c r="A1659" s="114" t="s">
        <v>115</v>
      </c>
      <c r="B1659">
        <v>4103</v>
      </c>
      <c r="C1659" s="114" t="s">
        <v>132</v>
      </c>
      <c r="D1659" s="92">
        <v>45257</v>
      </c>
      <c r="E1659">
        <v>4000</v>
      </c>
      <c r="F1659" s="114" t="s">
        <v>135</v>
      </c>
      <c r="G1659" s="204" t="s">
        <v>447</v>
      </c>
      <c r="H1659" s="92">
        <v>45257</v>
      </c>
    </row>
    <row r="1660" spans="1:8">
      <c r="A1660" s="114" t="s">
        <v>115</v>
      </c>
      <c r="B1660">
        <v>4104</v>
      </c>
      <c r="C1660" s="114" t="s">
        <v>141</v>
      </c>
      <c r="D1660" s="92">
        <v>45257</v>
      </c>
      <c r="E1660">
        <v>2100</v>
      </c>
      <c r="F1660" s="114" t="s">
        <v>142</v>
      </c>
      <c r="G1660" s="204" t="s">
        <v>447</v>
      </c>
      <c r="H1660" s="92">
        <v>45257</v>
      </c>
    </row>
    <row r="1661" spans="1:8">
      <c r="A1661" s="114" t="s">
        <v>73</v>
      </c>
      <c r="B1661">
        <v>2135</v>
      </c>
      <c r="C1661" s="114" t="s">
        <v>321</v>
      </c>
      <c r="D1661" s="92">
        <v>45257</v>
      </c>
      <c r="E1661">
        <v>2100</v>
      </c>
      <c r="F1661" s="114" t="s">
        <v>8</v>
      </c>
      <c r="G1661" s="204" t="s">
        <v>447</v>
      </c>
      <c r="H1661" s="92">
        <v>45257</v>
      </c>
    </row>
    <row r="1662" spans="1:8">
      <c r="A1662" s="114" t="s">
        <v>73</v>
      </c>
      <c r="B1662">
        <v>2136</v>
      </c>
      <c r="C1662" s="87" t="s">
        <v>207</v>
      </c>
      <c r="D1662" s="92">
        <v>45257</v>
      </c>
      <c r="E1662">
        <v>9000</v>
      </c>
      <c r="F1662" s="87" t="s">
        <v>93</v>
      </c>
      <c r="G1662" s="204" t="s">
        <v>447</v>
      </c>
      <c r="H1662" s="92">
        <v>45257</v>
      </c>
    </row>
    <row r="1663" spans="1:8">
      <c r="A1663" s="114" t="s">
        <v>73</v>
      </c>
      <c r="B1663" s="207">
        <v>2137</v>
      </c>
      <c r="C1663" s="114" t="s">
        <v>81</v>
      </c>
      <c r="D1663" s="92">
        <v>45257</v>
      </c>
      <c r="E1663">
        <v>2000</v>
      </c>
      <c r="F1663" s="114" t="s">
        <v>92</v>
      </c>
      <c r="G1663" s="204" t="s">
        <v>447</v>
      </c>
      <c r="H1663" s="92">
        <v>45257</v>
      </c>
    </row>
    <row r="1664" spans="1:8">
      <c r="A1664" s="114" t="s">
        <v>115</v>
      </c>
      <c r="B1664">
        <v>4105</v>
      </c>
      <c r="C1664" s="114" t="s">
        <v>137</v>
      </c>
      <c r="D1664" s="92">
        <v>45257</v>
      </c>
      <c r="E1664">
        <v>4500</v>
      </c>
      <c r="F1664" s="114" t="s">
        <v>376</v>
      </c>
      <c r="G1664" s="204" t="s">
        <v>447</v>
      </c>
      <c r="H1664" s="92">
        <v>45257</v>
      </c>
    </row>
    <row r="1665" spans="1:10">
      <c r="A1665" s="114" t="s">
        <v>115</v>
      </c>
      <c r="B1665">
        <v>4106</v>
      </c>
      <c r="C1665" s="114" t="s">
        <v>149</v>
      </c>
      <c r="D1665" s="92">
        <v>45257</v>
      </c>
      <c r="E1665">
        <v>1500</v>
      </c>
      <c r="F1665" s="207" t="s">
        <v>8</v>
      </c>
      <c r="G1665" s="204" t="s">
        <v>447</v>
      </c>
      <c r="H1665" s="92">
        <v>45257</v>
      </c>
    </row>
    <row r="1666" spans="1:10">
      <c r="A1666" s="114" t="s">
        <v>73</v>
      </c>
      <c r="B1666" s="61">
        <v>2138</v>
      </c>
      <c r="C1666" s="114" t="s">
        <v>99</v>
      </c>
      <c r="D1666" s="92">
        <v>45257</v>
      </c>
      <c r="E1666">
        <v>3800</v>
      </c>
      <c r="F1666" s="114" t="s">
        <v>112</v>
      </c>
      <c r="G1666" s="204" t="s">
        <v>447</v>
      </c>
      <c r="H1666" s="92">
        <v>45257</v>
      </c>
    </row>
    <row r="1667" spans="1:10">
      <c r="A1667" s="114" t="s">
        <v>73</v>
      </c>
      <c r="B1667" s="61">
        <v>2139</v>
      </c>
      <c r="C1667" s="114" t="s">
        <v>80</v>
      </c>
      <c r="D1667" s="92">
        <v>45257</v>
      </c>
      <c r="E1667">
        <v>1600</v>
      </c>
      <c r="F1667" s="114" t="s">
        <v>3</v>
      </c>
      <c r="G1667" s="204" t="s">
        <v>447</v>
      </c>
      <c r="H1667" s="92">
        <v>45257</v>
      </c>
    </row>
    <row r="1668" spans="1:10">
      <c r="A1668" s="114" t="s">
        <v>73</v>
      </c>
      <c r="B1668" s="61">
        <v>2140</v>
      </c>
      <c r="C1668" s="114" t="s">
        <v>96</v>
      </c>
      <c r="D1668" s="92">
        <v>45257</v>
      </c>
      <c r="E1668">
        <v>3800</v>
      </c>
      <c r="F1668" s="114" t="s">
        <v>112</v>
      </c>
      <c r="G1668" s="204" t="s">
        <v>447</v>
      </c>
      <c r="H1668" s="92">
        <v>45257</v>
      </c>
    </row>
    <row r="1669" spans="1:10">
      <c r="A1669" s="114" t="s">
        <v>73</v>
      </c>
      <c r="B1669" s="61">
        <v>2141</v>
      </c>
      <c r="C1669" s="114" t="s">
        <v>378</v>
      </c>
      <c r="D1669" s="92">
        <v>45257</v>
      </c>
      <c r="E1669">
        <v>2500</v>
      </c>
      <c r="F1669" s="114" t="s">
        <v>8</v>
      </c>
      <c r="G1669" s="204" t="s">
        <v>447</v>
      </c>
      <c r="H1669" s="92">
        <v>45257</v>
      </c>
    </row>
    <row r="1670" spans="1:10">
      <c r="A1670" s="114" t="s">
        <v>115</v>
      </c>
      <c r="B1670">
        <v>4107</v>
      </c>
      <c r="C1670" s="114" t="s">
        <v>148</v>
      </c>
      <c r="D1670" s="92">
        <v>45257</v>
      </c>
      <c r="E1670">
        <v>4300</v>
      </c>
      <c r="F1670" s="114" t="s">
        <v>166</v>
      </c>
      <c r="G1670" s="204" t="s">
        <v>447</v>
      </c>
      <c r="H1670" s="92">
        <v>45257</v>
      </c>
    </row>
    <row r="1671" spans="1:10">
      <c r="A1671" s="114" t="s">
        <v>115</v>
      </c>
      <c r="B1671">
        <v>4108</v>
      </c>
      <c r="C1671" s="114" t="s">
        <v>138</v>
      </c>
      <c r="D1671" s="92">
        <v>45257</v>
      </c>
      <c r="E1671">
        <f>2900+1000</f>
        <v>3900</v>
      </c>
      <c r="F1671" s="114" t="s">
        <v>135</v>
      </c>
      <c r="G1671" s="204" t="s">
        <v>447</v>
      </c>
      <c r="H1671" s="92">
        <v>45257</v>
      </c>
      <c r="J1671" t="s">
        <v>371</v>
      </c>
    </row>
    <row r="1672" spans="1:10">
      <c r="A1672" s="114" t="s">
        <v>73</v>
      </c>
      <c r="B1672" s="61">
        <v>2142</v>
      </c>
      <c r="C1672" s="114" t="s">
        <v>79</v>
      </c>
      <c r="D1672" s="92">
        <v>45257</v>
      </c>
      <c r="E1672">
        <v>1600</v>
      </c>
      <c r="F1672" s="114" t="s">
        <v>3</v>
      </c>
      <c r="G1672" s="204" t="s">
        <v>447</v>
      </c>
      <c r="H1672" s="92">
        <v>45257</v>
      </c>
    </row>
    <row r="1673" spans="1:10">
      <c r="A1673" s="114" t="s">
        <v>73</v>
      </c>
      <c r="B1673" s="61">
        <v>2143</v>
      </c>
      <c r="C1673" s="114" t="s">
        <v>106</v>
      </c>
      <c r="D1673" s="92">
        <v>45257</v>
      </c>
      <c r="E1673">
        <v>2900</v>
      </c>
      <c r="F1673" s="114" t="s">
        <v>107</v>
      </c>
      <c r="G1673" s="204" t="s">
        <v>447</v>
      </c>
      <c r="H1673" s="92">
        <v>45257</v>
      </c>
    </row>
    <row r="1674" spans="1:10">
      <c r="A1674" s="114" t="s">
        <v>115</v>
      </c>
      <c r="B1674">
        <v>4109</v>
      </c>
      <c r="C1674" s="114" t="s">
        <v>237</v>
      </c>
      <c r="D1674" s="92">
        <v>45257</v>
      </c>
      <c r="E1674">
        <v>8500</v>
      </c>
      <c r="F1674" s="114" t="s">
        <v>238</v>
      </c>
      <c r="G1674" s="204" t="s">
        <v>447</v>
      </c>
      <c r="H1674" s="92">
        <v>45257</v>
      </c>
    </row>
    <row r="1675" spans="1:10">
      <c r="A1675" s="114" t="s">
        <v>115</v>
      </c>
      <c r="B1675">
        <v>4110</v>
      </c>
      <c r="C1675" s="114" t="s">
        <v>146</v>
      </c>
      <c r="D1675" s="92">
        <v>45257</v>
      </c>
      <c r="E1675">
        <v>2000</v>
      </c>
      <c r="F1675" s="114" t="s">
        <v>8</v>
      </c>
      <c r="G1675" s="204" t="s">
        <v>447</v>
      </c>
      <c r="H1675" s="92">
        <v>45257</v>
      </c>
    </row>
    <row r="1676" spans="1:10">
      <c r="A1676" s="114" t="s">
        <v>115</v>
      </c>
      <c r="B1676">
        <v>4111</v>
      </c>
      <c r="C1676" s="114" t="s">
        <v>315</v>
      </c>
      <c r="D1676" s="92">
        <v>45257</v>
      </c>
      <c r="E1676">
        <v>3100</v>
      </c>
      <c r="F1676" s="114" t="s">
        <v>157</v>
      </c>
      <c r="G1676" s="204" t="s">
        <v>447</v>
      </c>
      <c r="H1676" s="92">
        <v>45257</v>
      </c>
    </row>
    <row r="1677" spans="1:10">
      <c r="A1677" s="114" t="s">
        <v>115</v>
      </c>
      <c r="B1677">
        <v>4112</v>
      </c>
      <c r="C1677" s="114" t="s">
        <v>344</v>
      </c>
      <c r="D1677" s="92">
        <v>45257</v>
      </c>
      <c r="E1677">
        <v>3500</v>
      </c>
      <c r="F1677" s="114" t="s">
        <v>8</v>
      </c>
      <c r="G1677" s="204" t="s">
        <v>447</v>
      </c>
      <c r="H1677" s="92">
        <v>45257</v>
      </c>
    </row>
    <row r="1678" spans="1:10">
      <c r="A1678" s="114" t="s">
        <v>73</v>
      </c>
      <c r="B1678" s="61">
        <v>2144</v>
      </c>
      <c r="C1678" s="114" t="s">
        <v>110</v>
      </c>
      <c r="D1678" s="92">
        <v>45257</v>
      </c>
      <c r="E1678">
        <v>2900</v>
      </c>
      <c r="F1678" s="114" t="s">
        <v>107</v>
      </c>
      <c r="G1678" s="204" t="s">
        <v>447</v>
      </c>
      <c r="H1678" s="92">
        <v>45257</v>
      </c>
    </row>
    <row r="1679" spans="1:10">
      <c r="A1679" s="114" t="s">
        <v>115</v>
      </c>
      <c r="B1679">
        <v>4113</v>
      </c>
      <c r="C1679" s="114" t="s">
        <v>289</v>
      </c>
      <c r="D1679" s="92">
        <v>45257</v>
      </c>
      <c r="E1679">
        <v>2300</v>
      </c>
      <c r="F1679" s="114" t="s">
        <v>290</v>
      </c>
      <c r="G1679" s="204" t="s">
        <v>447</v>
      </c>
      <c r="H1679" s="92">
        <v>45257</v>
      </c>
    </row>
    <row r="1680" spans="1:10">
      <c r="A1680" s="114" t="s">
        <v>73</v>
      </c>
      <c r="B1680" s="61">
        <v>2145</v>
      </c>
      <c r="C1680" t="s">
        <v>356</v>
      </c>
      <c r="D1680" s="92">
        <v>45257</v>
      </c>
      <c r="E1680">
        <v>6000</v>
      </c>
      <c r="F1680" t="s">
        <v>357</v>
      </c>
      <c r="G1680" s="204" t="s">
        <v>447</v>
      </c>
      <c r="H1680" s="92">
        <v>45257</v>
      </c>
    </row>
    <row r="1681" spans="1:8">
      <c r="A1681" s="114" t="s">
        <v>115</v>
      </c>
      <c r="B1681">
        <v>4114</v>
      </c>
      <c r="C1681" s="114" t="s">
        <v>127</v>
      </c>
      <c r="D1681" s="92">
        <v>45257</v>
      </c>
      <c r="E1681">
        <v>5800</v>
      </c>
      <c r="F1681" s="114" t="s">
        <v>157</v>
      </c>
      <c r="G1681" s="204" t="s">
        <v>447</v>
      </c>
      <c r="H1681" s="92">
        <v>45257</v>
      </c>
    </row>
    <row r="1682" spans="1:8">
      <c r="A1682" s="114" t="s">
        <v>115</v>
      </c>
      <c r="B1682">
        <v>4115</v>
      </c>
      <c r="C1682" t="s">
        <v>416</v>
      </c>
      <c r="D1682" s="92">
        <v>45257</v>
      </c>
      <c r="E1682">
        <v>10500</v>
      </c>
      <c r="F1682" t="s">
        <v>290</v>
      </c>
      <c r="G1682" s="204" t="s">
        <v>447</v>
      </c>
      <c r="H1682" s="92">
        <v>45257</v>
      </c>
    </row>
    <row r="1683" spans="1:8">
      <c r="A1683" s="207" t="s">
        <v>250</v>
      </c>
      <c r="B1683" s="61">
        <v>157</v>
      </c>
      <c r="C1683" t="s">
        <v>144</v>
      </c>
      <c r="D1683" s="92">
        <v>45276</v>
      </c>
      <c r="E1683">
        <v>16500</v>
      </c>
      <c r="F1683" s="207" t="s">
        <v>162</v>
      </c>
      <c r="G1683" s="204" t="s">
        <v>447</v>
      </c>
      <c r="H1683" s="92">
        <v>45276</v>
      </c>
    </row>
    <row r="1684" spans="1:8">
      <c r="A1684" s="114" t="s">
        <v>115</v>
      </c>
      <c r="B1684">
        <v>4116</v>
      </c>
      <c r="C1684" s="114" t="s">
        <v>170</v>
      </c>
      <c r="D1684" s="92">
        <v>45286</v>
      </c>
      <c r="E1684">
        <v>3400</v>
      </c>
      <c r="F1684" s="114" t="s">
        <v>161</v>
      </c>
      <c r="G1684" s="204" t="s">
        <v>449</v>
      </c>
      <c r="H1684" s="92">
        <v>45286</v>
      </c>
    </row>
    <row r="1685" spans="1:8">
      <c r="A1685" s="114" t="s">
        <v>73</v>
      </c>
      <c r="B1685" s="61">
        <v>2146</v>
      </c>
      <c r="C1685" s="114" t="s">
        <v>275</v>
      </c>
      <c r="D1685" s="92">
        <v>45286</v>
      </c>
      <c r="E1685">
        <v>5400</v>
      </c>
      <c r="F1685" s="114" t="s">
        <v>89</v>
      </c>
      <c r="G1685" s="204" t="s">
        <v>449</v>
      </c>
      <c r="H1685" s="92">
        <v>45286</v>
      </c>
    </row>
    <row r="1686" spans="1:8">
      <c r="A1686" s="114" t="s">
        <v>115</v>
      </c>
      <c r="B1686">
        <v>4117</v>
      </c>
      <c r="C1686" s="114" t="s">
        <v>131</v>
      </c>
      <c r="D1686" s="92">
        <v>45286</v>
      </c>
      <c r="E1686">
        <v>1200</v>
      </c>
      <c r="F1686" s="114" t="s">
        <v>142</v>
      </c>
      <c r="G1686" s="204" t="s">
        <v>449</v>
      </c>
      <c r="H1686" s="92">
        <v>45286</v>
      </c>
    </row>
    <row r="1687" spans="1:8">
      <c r="A1687" s="114" t="s">
        <v>115</v>
      </c>
      <c r="B1687">
        <v>4118</v>
      </c>
      <c r="C1687" s="114" t="s">
        <v>128</v>
      </c>
      <c r="D1687" s="92">
        <v>45286</v>
      </c>
      <c r="E1687">
        <v>12000</v>
      </c>
      <c r="F1687" s="114" t="s">
        <v>142</v>
      </c>
      <c r="G1687" s="204" t="s">
        <v>449</v>
      </c>
      <c r="H1687" s="92">
        <v>45286</v>
      </c>
    </row>
    <row r="1688" spans="1:8">
      <c r="A1688" s="114" t="s">
        <v>115</v>
      </c>
      <c r="B1688">
        <v>4119</v>
      </c>
      <c r="C1688" s="114" t="s">
        <v>134</v>
      </c>
      <c r="D1688" s="92">
        <v>45286</v>
      </c>
      <c r="E1688">
        <v>3300</v>
      </c>
      <c r="F1688" s="114" t="s">
        <v>135</v>
      </c>
      <c r="G1688" s="204" t="s">
        <v>449</v>
      </c>
      <c r="H1688" s="92">
        <v>45286</v>
      </c>
    </row>
    <row r="1689" spans="1:8">
      <c r="A1689" s="114" t="s">
        <v>73</v>
      </c>
      <c r="B1689" s="61">
        <v>2147</v>
      </c>
      <c r="C1689" s="114" t="s">
        <v>109</v>
      </c>
      <c r="D1689" s="92">
        <v>45286</v>
      </c>
      <c r="E1689">
        <v>2900</v>
      </c>
      <c r="F1689" s="114" t="s">
        <v>91</v>
      </c>
      <c r="G1689" s="204" t="s">
        <v>449</v>
      </c>
      <c r="H1689" s="92">
        <v>45286</v>
      </c>
    </row>
    <row r="1690" spans="1:8">
      <c r="A1690" s="114" t="s">
        <v>115</v>
      </c>
      <c r="B1690">
        <v>4120</v>
      </c>
      <c r="C1690" s="114" t="s">
        <v>147</v>
      </c>
      <c r="D1690" s="92">
        <v>45286</v>
      </c>
      <c r="E1690">
        <v>5800</v>
      </c>
      <c r="F1690" s="114" t="s">
        <v>89</v>
      </c>
      <c r="G1690" s="204" t="s">
        <v>449</v>
      </c>
      <c r="H1690" s="92">
        <v>45286</v>
      </c>
    </row>
    <row r="1691" spans="1:8">
      <c r="A1691" s="114" t="s">
        <v>115</v>
      </c>
      <c r="B1691">
        <v>4121</v>
      </c>
      <c r="C1691" s="114" t="s">
        <v>130</v>
      </c>
      <c r="D1691" s="92">
        <v>45286</v>
      </c>
      <c r="E1691">
        <v>1500</v>
      </c>
      <c r="F1691" s="114" t="s">
        <v>142</v>
      </c>
      <c r="G1691" s="204" t="s">
        <v>449</v>
      </c>
      <c r="H1691" s="92">
        <v>45286</v>
      </c>
    </row>
    <row r="1692" spans="1:8">
      <c r="A1692" s="114" t="s">
        <v>115</v>
      </c>
      <c r="B1692">
        <v>4122</v>
      </c>
      <c r="C1692" s="160" t="s">
        <v>152</v>
      </c>
      <c r="D1692" s="92">
        <v>45286</v>
      </c>
      <c r="E1692">
        <v>3600</v>
      </c>
      <c r="F1692" s="114" t="s">
        <v>164</v>
      </c>
      <c r="G1692" s="204" t="s">
        <v>449</v>
      </c>
      <c r="H1692" s="92">
        <v>45286</v>
      </c>
    </row>
    <row r="1693" spans="1:8">
      <c r="A1693" s="114" t="s">
        <v>73</v>
      </c>
      <c r="B1693" s="61">
        <v>2148</v>
      </c>
      <c r="C1693" s="114" t="s">
        <v>87</v>
      </c>
      <c r="D1693" s="92">
        <v>45286</v>
      </c>
      <c r="E1693">
        <v>1100</v>
      </c>
      <c r="F1693" s="114" t="s">
        <v>91</v>
      </c>
      <c r="G1693" s="204" t="s">
        <v>449</v>
      </c>
      <c r="H1693" s="92">
        <v>45286</v>
      </c>
    </row>
    <row r="1694" spans="1:8">
      <c r="A1694" s="114" t="s">
        <v>115</v>
      </c>
      <c r="B1694">
        <v>4123</v>
      </c>
      <c r="C1694" s="114" t="s">
        <v>129</v>
      </c>
      <c r="D1694" s="92">
        <v>45286</v>
      </c>
      <c r="E1694">
        <v>500</v>
      </c>
      <c r="F1694" s="114" t="s">
        <v>142</v>
      </c>
      <c r="G1694" s="204" t="s">
        <v>449</v>
      </c>
      <c r="H1694" s="92">
        <v>45286</v>
      </c>
    </row>
    <row r="1695" spans="1:8">
      <c r="A1695" s="114" t="s">
        <v>73</v>
      </c>
      <c r="B1695" s="61">
        <v>2149</v>
      </c>
      <c r="C1695" s="114" t="s">
        <v>292</v>
      </c>
      <c r="D1695" s="92">
        <v>45286</v>
      </c>
      <c r="E1695">
        <v>2900</v>
      </c>
      <c r="F1695" s="114" t="s">
        <v>107</v>
      </c>
      <c r="G1695" s="204" t="s">
        <v>449</v>
      </c>
      <c r="H1695" s="92">
        <v>45286</v>
      </c>
    </row>
    <row r="1696" spans="1:8">
      <c r="A1696" s="114" t="s">
        <v>115</v>
      </c>
      <c r="B1696">
        <v>4124</v>
      </c>
      <c r="C1696" s="114" t="s">
        <v>132</v>
      </c>
      <c r="D1696" s="92">
        <v>45286</v>
      </c>
      <c r="E1696">
        <v>4000</v>
      </c>
      <c r="F1696" s="114" t="s">
        <v>135</v>
      </c>
      <c r="G1696" s="204" t="s">
        <v>449</v>
      </c>
      <c r="H1696" s="92">
        <v>45286</v>
      </c>
    </row>
    <row r="1697" spans="1:8">
      <c r="A1697" s="114" t="s">
        <v>115</v>
      </c>
      <c r="B1697">
        <v>4125</v>
      </c>
      <c r="C1697" s="114" t="s">
        <v>141</v>
      </c>
      <c r="D1697" s="92">
        <v>45286</v>
      </c>
      <c r="E1697">
        <v>2100</v>
      </c>
      <c r="F1697" s="114" t="s">
        <v>142</v>
      </c>
      <c r="G1697" s="204" t="s">
        <v>449</v>
      </c>
      <c r="H1697" s="92">
        <v>45286</v>
      </c>
    </row>
    <row r="1698" spans="1:8">
      <c r="A1698" s="114" t="s">
        <v>73</v>
      </c>
      <c r="B1698" s="61">
        <v>2150</v>
      </c>
      <c r="C1698" s="114" t="s">
        <v>321</v>
      </c>
      <c r="D1698" s="92">
        <v>45286</v>
      </c>
      <c r="E1698">
        <v>2100</v>
      </c>
      <c r="F1698" s="114" t="s">
        <v>8</v>
      </c>
      <c r="G1698" s="204" t="s">
        <v>449</v>
      </c>
      <c r="H1698" s="92">
        <v>45286</v>
      </c>
    </row>
    <row r="1699" spans="1:8">
      <c r="A1699" s="114" t="s">
        <v>73</v>
      </c>
      <c r="B1699" s="61">
        <v>2151</v>
      </c>
      <c r="C1699" s="87" t="s">
        <v>207</v>
      </c>
      <c r="D1699" s="92">
        <v>45286</v>
      </c>
      <c r="E1699">
        <v>9000</v>
      </c>
      <c r="F1699" s="87" t="s">
        <v>93</v>
      </c>
      <c r="G1699" s="204" t="s">
        <v>449</v>
      </c>
      <c r="H1699" s="92">
        <v>45286</v>
      </c>
    </row>
    <row r="1700" spans="1:8">
      <c r="A1700" s="114" t="s">
        <v>73</v>
      </c>
      <c r="B1700" s="207">
        <v>2152</v>
      </c>
      <c r="C1700" s="114" t="s">
        <v>81</v>
      </c>
      <c r="D1700" s="92">
        <v>45286</v>
      </c>
      <c r="E1700">
        <v>2000</v>
      </c>
      <c r="F1700" s="114" t="s">
        <v>92</v>
      </c>
      <c r="G1700" s="204" t="s">
        <v>449</v>
      </c>
      <c r="H1700" s="92">
        <v>45286</v>
      </c>
    </row>
    <row r="1701" spans="1:8">
      <c r="A1701" s="114" t="s">
        <v>115</v>
      </c>
      <c r="B1701">
        <v>4126</v>
      </c>
      <c r="C1701" s="114" t="s">
        <v>137</v>
      </c>
      <c r="D1701" s="92">
        <v>45286</v>
      </c>
      <c r="E1701">
        <v>4500</v>
      </c>
      <c r="F1701" s="114" t="s">
        <v>376</v>
      </c>
      <c r="G1701" s="204" t="s">
        <v>449</v>
      </c>
      <c r="H1701" s="92">
        <v>45286</v>
      </c>
    </row>
    <row r="1702" spans="1:8">
      <c r="A1702" s="114" t="s">
        <v>115</v>
      </c>
      <c r="B1702">
        <v>4127</v>
      </c>
      <c r="C1702" s="114" t="s">
        <v>149</v>
      </c>
      <c r="D1702" s="92">
        <v>45286</v>
      </c>
      <c r="E1702">
        <v>1500</v>
      </c>
      <c r="F1702" s="207" t="s">
        <v>8</v>
      </c>
      <c r="G1702" s="204" t="s">
        <v>449</v>
      </c>
      <c r="H1702" s="92">
        <v>45286</v>
      </c>
    </row>
    <row r="1703" spans="1:8">
      <c r="A1703" s="114" t="s">
        <v>73</v>
      </c>
      <c r="B1703" s="61">
        <v>2153</v>
      </c>
      <c r="C1703" s="114" t="s">
        <v>99</v>
      </c>
      <c r="D1703" s="92">
        <v>45286</v>
      </c>
      <c r="E1703">
        <v>3800</v>
      </c>
      <c r="F1703" s="114" t="s">
        <v>112</v>
      </c>
      <c r="G1703" s="204" t="s">
        <v>449</v>
      </c>
      <c r="H1703" s="92">
        <v>45286</v>
      </c>
    </row>
    <row r="1704" spans="1:8">
      <c r="A1704" s="114" t="s">
        <v>73</v>
      </c>
      <c r="B1704" s="61">
        <v>2154</v>
      </c>
      <c r="C1704" s="114" t="s">
        <v>80</v>
      </c>
      <c r="D1704" s="92">
        <v>45286</v>
      </c>
      <c r="E1704">
        <v>1600</v>
      </c>
      <c r="F1704" s="114" t="s">
        <v>3</v>
      </c>
      <c r="G1704" s="204" t="s">
        <v>449</v>
      </c>
      <c r="H1704" s="92">
        <v>45286</v>
      </c>
    </row>
    <row r="1705" spans="1:8">
      <c r="A1705" s="114" t="s">
        <v>73</v>
      </c>
      <c r="B1705" s="61">
        <v>2155</v>
      </c>
      <c r="C1705" s="114" t="s">
        <v>96</v>
      </c>
      <c r="D1705" s="92">
        <v>45286</v>
      </c>
      <c r="E1705">
        <v>3800</v>
      </c>
      <c r="F1705" s="114" t="s">
        <v>112</v>
      </c>
      <c r="G1705" s="204" t="s">
        <v>449</v>
      </c>
      <c r="H1705" s="92">
        <v>45286</v>
      </c>
    </row>
    <row r="1706" spans="1:8">
      <c r="A1706" s="114" t="s">
        <v>73</v>
      </c>
      <c r="B1706" s="61">
        <v>2156</v>
      </c>
      <c r="C1706" s="114" t="s">
        <v>378</v>
      </c>
      <c r="D1706" s="92">
        <v>45286</v>
      </c>
      <c r="E1706">
        <v>2500</v>
      </c>
      <c r="F1706" s="114" t="s">
        <v>8</v>
      </c>
      <c r="G1706" s="204" t="s">
        <v>449</v>
      </c>
      <c r="H1706" s="92">
        <v>45286</v>
      </c>
    </row>
    <row r="1707" spans="1:8">
      <c r="A1707" s="114" t="s">
        <v>115</v>
      </c>
      <c r="B1707">
        <v>4128</v>
      </c>
      <c r="C1707" s="114" t="s">
        <v>148</v>
      </c>
      <c r="D1707" s="92">
        <v>45286</v>
      </c>
      <c r="E1707">
        <v>4300</v>
      </c>
      <c r="F1707" s="114" t="s">
        <v>166</v>
      </c>
      <c r="G1707" s="204" t="s">
        <v>449</v>
      </c>
      <c r="H1707" s="92">
        <v>45286</v>
      </c>
    </row>
    <row r="1708" spans="1:8">
      <c r="A1708" s="114" t="s">
        <v>115</v>
      </c>
      <c r="B1708">
        <v>4129</v>
      </c>
      <c r="C1708" s="114" t="s">
        <v>138</v>
      </c>
      <c r="D1708" s="92">
        <v>45286</v>
      </c>
      <c r="E1708">
        <v>2900</v>
      </c>
      <c r="F1708" s="114" t="s">
        <v>135</v>
      </c>
      <c r="G1708" s="204" t="s">
        <v>449</v>
      </c>
      <c r="H1708" s="92">
        <v>45286</v>
      </c>
    </row>
    <row r="1709" spans="1:8">
      <c r="A1709" s="114" t="s">
        <v>73</v>
      </c>
      <c r="B1709" s="61">
        <v>2157</v>
      </c>
      <c r="C1709" s="114" t="s">
        <v>79</v>
      </c>
      <c r="D1709" s="92">
        <v>45286</v>
      </c>
      <c r="E1709">
        <v>1600</v>
      </c>
      <c r="F1709" s="114" t="s">
        <v>3</v>
      </c>
      <c r="G1709" s="204" t="s">
        <v>449</v>
      </c>
      <c r="H1709" s="92">
        <v>45286</v>
      </c>
    </row>
    <row r="1710" spans="1:8">
      <c r="A1710" s="114" t="s">
        <v>73</v>
      </c>
      <c r="B1710" s="61">
        <v>2158</v>
      </c>
      <c r="C1710" s="114" t="s">
        <v>106</v>
      </c>
      <c r="D1710" s="92">
        <v>45286</v>
      </c>
      <c r="E1710">
        <v>2900</v>
      </c>
      <c r="F1710" s="114" t="s">
        <v>107</v>
      </c>
      <c r="G1710" s="204" t="s">
        <v>449</v>
      </c>
      <c r="H1710" s="92">
        <v>45286</v>
      </c>
    </row>
    <row r="1711" spans="1:8">
      <c r="A1711" s="114" t="s">
        <v>115</v>
      </c>
      <c r="B1711">
        <v>4130</v>
      </c>
      <c r="C1711" s="114" t="s">
        <v>237</v>
      </c>
      <c r="D1711" s="92">
        <v>45286</v>
      </c>
      <c r="E1711">
        <v>8500</v>
      </c>
      <c r="F1711" s="114" t="s">
        <v>238</v>
      </c>
      <c r="G1711" s="204" t="s">
        <v>449</v>
      </c>
      <c r="H1711" s="92">
        <v>45286</v>
      </c>
    </row>
    <row r="1712" spans="1:8">
      <c r="A1712" s="114" t="s">
        <v>115</v>
      </c>
      <c r="B1712">
        <v>4131</v>
      </c>
      <c r="C1712" s="114" t="s">
        <v>146</v>
      </c>
      <c r="D1712" s="92">
        <v>45286</v>
      </c>
      <c r="E1712">
        <v>2000</v>
      </c>
      <c r="F1712" s="114" t="s">
        <v>8</v>
      </c>
      <c r="G1712" s="204" t="s">
        <v>449</v>
      </c>
      <c r="H1712" s="92">
        <v>45286</v>
      </c>
    </row>
    <row r="1713" spans="1:8">
      <c r="A1713" s="114" t="s">
        <v>115</v>
      </c>
      <c r="B1713">
        <v>4132</v>
      </c>
      <c r="C1713" s="114" t="s">
        <v>315</v>
      </c>
      <c r="D1713" s="92">
        <v>45286</v>
      </c>
      <c r="E1713">
        <v>3100</v>
      </c>
      <c r="F1713" s="114" t="s">
        <v>157</v>
      </c>
      <c r="G1713" s="204" t="s">
        <v>449</v>
      </c>
      <c r="H1713" s="92">
        <v>45286</v>
      </c>
    </row>
    <row r="1714" spans="1:8">
      <c r="A1714" s="114" t="s">
        <v>115</v>
      </c>
      <c r="B1714">
        <v>4133</v>
      </c>
      <c r="C1714" s="114" t="s">
        <v>344</v>
      </c>
      <c r="D1714" s="92">
        <v>45286</v>
      </c>
      <c r="E1714">
        <v>3500</v>
      </c>
      <c r="F1714" s="114" t="s">
        <v>8</v>
      </c>
      <c r="G1714" s="204" t="s">
        <v>449</v>
      </c>
      <c r="H1714" s="92">
        <v>45286</v>
      </c>
    </row>
    <row r="1715" spans="1:8">
      <c r="A1715" s="114" t="s">
        <v>73</v>
      </c>
      <c r="B1715" s="61">
        <v>2159</v>
      </c>
      <c r="C1715" s="114" t="s">
        <v>110</v>
      </c>
      <c r="D1715" s="92">
        <v>45286</v>
      </c>
      <c r="E1715">
        <v>2900</v>
      </c>
      <c r="F1715" s="114" t="s">
        <v>107</v>
      </c>
      <c r="G1715" s="204" t="s">
        <v>449</v>
      </c>
      <c r="H1715" s="92">
        <v>45286</v>
      </c>
    </row>
    <row r="1716" spans="1:8">
      <c r="A1716" s="114" t="s">
        <v>115</v>
      </c>
      <c r="B1716">
        <v>4134</v>
      </c>
      <c r="C1716" s="114" t="s">
        <v>289</v>
      </c>
      <c r="D1716" s="92">
        <v>45286</v>
      </c>
      <c r="E1716">
        <v>2300</v>
      </c>
      <c r="F1716" s="114" t="s">
        <v>290</v>
      </c>
      <c r="G1716" s="204" t="s">
        <v>449</v>
      </c>
      <c r="H1716" s="92">
        <v>45286</v>
      </c>
    </row>
    <row r="1717" spans="1:8">
      <c r="A1717" s="114" t="s">
        <v>73</v>
      </c>
      <c r="B1717" s="61">
        <v>2160</v>
      </c>
      <c r="C1717" t="s">
        <v>356</v>
      </c>
      <c r="D1717" s="92">
        <v>45286</v>
      </c>
      <c r="E1717">
        <v>6000</v>
      </c>
      <c r="F1717" t="s">
        <v>357</v>
      </c>
      <c r="G1717" s="204" t="s">
        <v>449</v>
      </c>
      <c r="H1717" s="92">
        <v>45286</v>
      </c>
    </row>
    <row r="1718" spans="1:8">
      <c r="A1718" s="114" t="s">
        <v>115</v>
      </c>
      <c r="B1718">
        <v>4135</v>
      </c>
      <c r="C1718" s="114" t="s">
        <v>127</v>
      </c>
      <c r="D1718" s="92">
        <v>45286</v>
      </c>
      <c r="E1718">
        <v>5800</v>
      </c>
      <c r="F1718" s="114" t="s">
        <v>157</v>
      </c>
      <c r="G1718" s="204" t="s">
        <v>449</v>
      </c>
      <c r="H1718" s="92">
        <v>45286</v>
      </c>
    </row>
    <row r="1719" spans="1:8">
      <c r="A1719" s="114" t="s">
        <v>115</v>
      </c>
      <c r="B1719">
        <v>4136</v>
      </c>
      <c r="C1719" t="s">
        <v>416</v>
      </c>
      <c r="D1719" s="92">
        <v>45286</v>
      </c>
      <c r="E1719">
        <v>10500</v>
      </c>
      <c r="F1719" t="s">
        <v>290</v>
      </c>
      <c r="G1719" s="204" t="s">
        <v>449</v>
      </c>
      <c r="H1719" s="92">
        <v>45286</v>
      </c>
    </row>
    <row r="1720" spans="1:8">
      <c r="A1720" s="114" t="s">
        <v>115</v>
      </c>
      <c r="B1720">
        <v>4137</v>
      </c>
      <c r="C1720" t="s">
        <v>417</v>
      </c>
      <c r="D1720" s="92"/>
      <c r="E1720">
        <v>1500</v>
      </c>
      <c r="F1720" t="s">
        <v>8</v>
      </c>
      <c r="G1720" s="204" t="s">
        <v>449</v>
      </c>
      <c r="H1720" s="92"/>
    </row>
    <row r="1721" spans="1:8">
      <c r="A1721" s="114" t="s">
        <v>115</v>
      </c>
      <c r="B1721" s="61">
        <v>4138</v>
      </c>
      <c r="C1721" s="114" t="s">
        <v>140</v>
      </c>
      <c r="D1721" s="92">
        <v>45286</v>
      </c>
      <c r="E1721">
        <v>74100</v>
      </c>
      <c r="F1721" s="114" t="s">
        <v>25</v>
      </c>
      <c r="G1721" t="s">
        <v>450</v>
      </c>
      <c r="H1721" s="92">
        <v>45286</v>
      </c>
    </row>
    <row r="1722" spans="1:8">
      <c r="A1722" s="114" t="s">
        <v>115</v>
      </c>
      <c r="B1722" s="61">
        <v>4139</v>
      </c>
      <c r="C1722" s="219" t="s">
        <v>153</v>
      </c>
      <c r="D1722" s="92">
        <v>45286</v>
      </c>
      <c r="E1722">
        <v>6600</v>
      </c>
      <c r="F1722" s="114" t="s">
        <v>168</v>
      </c>
      <c r="G1722" t="s">
        <v>450</v>
      </c>
      <c r="H1722" s="92">
        <v>45286</v>
      </c>
    </row>
    <row r="1723" spans="1:8">
      <c r="A1723" s="114" t="s">
        <v>115</v>
      </c>
      <c r="B1723" s="207">
        <v>4140</v>
      </c>
      <c r="C1723" s="220" t="s">
        <v>154</v>
      </c>
      <c r="D1723" s="92">
        <v>45286</v>
      </c>
      <c r="E1723" s="201">
        <f>(2700*3)</f>
        <v>8100</v>
      </c>
      <c r="F1723" s="87" t="s">
        <v>168</v>
      </c>
      <c r="G1723" t="s">
        <v>450</v>
      </c>
      <c r="H1723" s="92">
        <v>45286</v>
      </c>
    </row>
    <row r="1724" spans="1:8">
      <c r="A1724" s="114" t="s">
        <v>73</v>
      </c>
      <c r="B1724" s="207">
        <v>2161</v>
      </c>
      <c r="C1724" s="114" t="s">
        <v>354</v>
      </c>
      <c r="D1724" s="92">
        <v>45286</v>
      </c>
      <c r="E1724">
        <v>7500</v>
      </c>
      <c r="F1724" s="114" t="s">
        <v>8</v>
      </c>
      <c r="G1724" t="s">
        <v>450</v>
      </c>
      <c r="H1724" s="92">
        <v>45286</v>
      </c>
    </row>
    <row r="1725" spans="1:8">
      <c r="A1725" s="114" t="s">
        <v>115</v>
      </c>
      <c r="B1725" s="207">
        <v>4141</v>
      </c>
      <c r="C1725" s="114" t="s">
        <v>190</v>
      </c>
      <c r="D1725" s="92">
        <v>45286</v>
      </c>
      <c r="E1725">
        <v>9600</v>
      </c>
      <c r="F1725" s="114" t="s">
        <v>142</v>
      </c>
      <c r="G1725" t="s">
        <v>450</v>
      </c>
      <c r="H1725" s="92">
        <v>45286</v>
      </c>
    </row>
    <row r="1726" spans="1:8">
      <c r="A1726" s="114" t="s">
        <v>73</v>
      </c>
      <c r="B1726" s="207">
        <v>2162</v>
      </c>
      <c r="C1726" s="114" t="s">
        <v>77</v>
      </c>
      <c r="D1726" s="92">
        <v>45286</v>
      </c>
      <c r="E1726" s="207">
        <v>2500</v>
      </c>
      <c r="F1726" s="207" t="s">
        <v>91</v>
      </c>
      <c r="G1726" t="s">
        <v>450</v>
      </c>
      <c r="H1726" s="92">
        <v>45286</v>
      </c>
    </row>
    <row r="1727" spans="1:8">
      <c r="A1727" s="114" t="s">
        <v>73</v>
      </c>
      <c r="B1727" s="207">
        <v>2163</v>
      </c>
      <c r="C1727" s="114" t="s">
        <v>86</v>
      </c>
      <c r="D1727" s="92">
        <v>45286</v>
      </c>
      <c r="E1727" s="114">
        <v>4800</v>
      </c>
      <c r="F1727" s="114" t="s">
        <v>8</v>
      </c>
      <c r="G1727" t="s">
        <v>450</v>
      </c>
      <c r="H1727" s="92">
        <v>45286</v>
      </c>
    </row>
    <row r="1728" spans="1:8">
      <c r="A1728" s="114" t="s">
        <v>73</v>
      </c>
      <c r="B1728" s="61">
        <v>2164</v>
      </c>
      <c r="C1728" s="114" t="s">
        <v>101</v>
      </c>
      <c r="D1728" s="92">
        <v>45286</v>
      </c>
      <c r="E1728">
        <f>1700*3</f>
        <v>5100</v>
      </c>
      <c r="F1728" s="114" t="s">
        <v>8</v>
      </c>
      <c r="G1728" t="s">
        <v>450</v>
      </c>
      <c r="H1728" s="92">
        <v>45286</v>
      </c>
    </row>
    <row r="1729" spans="1:8">
      <c r="A1729" s="114" t="s">
        <v>73</v>
      </c>
      <c r="B1729" s="61">
        <v>2165</v>
      </c>
      <c r="C1729" s="114" t="s">
        <v>140</v>
      </c>
      <c r="D1729" s="92">
        <v>45286</v>
      </c>
      <c r="E1729" s="201">
        <v>43500</v>
      </c>
      <c r="F1729" s="114" t="s">
        <v>25</v>
      </c>
      <c r="G1729" t="s">
        <v>450</v>
      </c>
      <c r="H1729" s="92">
        <v>45286</v>
      </c>
    </row>
    <row r="1730" spans="1:8">
      <c r="A1730" s="207" t="s">
        <v>250</v>
      </c>
      <c r="B1730">
        <v>158</v>
      </c>
      <c r="C1730" t="s">
        <v>134</v>
      </c>
      <c r="D1730" s="92">
        <v>45299</v>
      </c>
      <c r="E1730">
        <v>1800</v>
      </c>
      <c r="F1730" s="114" t="s">
        <v>135</v>
      </c>
      <c r="G1730" t="s">
        <v>457</v>
      </c>
      <c r="H1730" s="92">
        <v>45299</v>
      </c>
    </row>
    <row r="1731" spans="1:8">
      <c r="A1731" s="207" t="s">
        <v>250</v>
      </c>
      <c r="B1731">
        <v>160</v>
      </c>
      <c r="C1731" t="s">
        <v>144</v>
      </c>
      <c r="D1731" s="92">
        <v>45307</v>
      </c>
      <c r="E1731">
        <v>16500</v>
      </c>
      <c r="F1731" s="114" t="s">
        <v>135</v>
      </c>
      <c r="G1731" s="204" t="s">
        <v>449</v>
      </c>
      <c r="H1731" s="92">
        <v>45307</v>
      </c>
    </row>
    <row r="1732" spans="1:8">
      <c r="A1732" s="114" t="s">
        <v>115</v>
      </c>
      <c r="B1732" s="61">
        <v>4142</v>
      </c>
      <c r="C1732" s="114" t="s">
        <v>170</v>
      </c>
      <c r="D1732" s="92">
        <v>45322</v>
      </c>
      <c r="E1732">
        <v>3400</v>
      </c>
      <c r="F1732" s="114" t="s">
        <v>161</v>
      </c>
      <c r="G1732" s="204" t="s">
        <v>458</v>
      </c>
      <c r="H1732" s="92">
        <v>45324</v>
      </c>
    </row>
    <row r="1733" spans="1:8">
      <c r="A1733" s="114" t="s">
        <v>73</v>
      </c>
      <c r="B1733" s="61">
        <v>2166</v>
      </c>
      <c r="C1733" s="114" t="s">
        <v>275</v>
      </c>
      <c r="D1733" s="92">
        <v>45322</v>
      </c>
      <c r="E1733">
        <v>5400</v>
      </c>
      <c r="F1733" s="114" t="s">
        <v>89</v>
      </c>
      <c r="G1733" s="204" t="s">
        <v>458</v>
      </c>
      <c r="H1733" s="92">
        <v>45324</v>
      </c>
    </row>
    <row r="1734" spans="1:8">
      <c r="A1734" s="114" t="s">
        <v>115</v>
      </c>
      <c r="B1734">
        <v>4143</v>
      </c>
      <c r="C1734" s="114" t="s">
        <v>131</v>
      </c>
      <c r="D1734" s="92">
        <v>45322</v>
      </c>
      <c r="E1734">
        <v>1200</v>
      </c>
      <c r="F1734" s="114" t="s">
        <v>142</v>
      </c>
      <c r="G1734" s="204" t="s">
        <v>458</v>
      </c>
      <c r="H1734" s="92">
        <v>45324</v>
      </c>
    </row>
    <row r="1735" spans="1:8">
      <c r="A1735" s="114" t="s">
        <v>115</v>
      </c>
      <c r="B1735">
        <v>4144</v>
      </c>
      <c r="C1735" s="114" t="s">
        <v>128</v>
      </c>
      <c r="D1735" s="92">
        <v>45322</v>
      </c>
      <c r="E1735">
        <v>12000</v>
      </c>
      <c r="F1735" s="114" t="s">
        <v>142</v>
      </c>
      <c r="G1735" s="204" t="s">
        <v>458</v>
      </c>
      <c r="H1735" s="92">
        <v>45324</v>
      </c>
    </row>
    <row r="1736" spans="1:8">
      <c r="A1736" s="114" t="s">
        <v>115</v>
      </c>
      <c r="B1736">
        <v>4145</v>
      </c>
      <c r="C1736" s="114" t="s">
        <v>134</v>
      </c>
      <c r="D1736" s="92">
        <v>45322</v>
      </c>
      <c r="E1736">
        <v>3300</v>
      </c>
      <c r="F1736" s="114" t="s">
        <v>135</v>
      </c>
      <c r="G1736" s="204" t="s">
        <v>458</v>
      </c>
      <c r="H1736" s="92">
        <v>45324</v>
      </c>
    </row>
    <row r="1737" spans="1:8">
      <c r="A1737" s="114" t="s">
        <v>73</v>
      </c>
      <c r="B1737" s="61">
        <v>2167</v>
      </c>
      <c r="C1737" s="114" t="s">
        <v>109</v>
      </c>
      <c r="D1737" s="92">
        <v>45322</v>
      </c>
      <c r="E1737">
        <v>2900</v>
      </c>
      <c r="F1737" s="114" t="s">
        <v>91</v>
      </c>
      <c r="G1737" s="204" t="s">
        <v>458</v>
      </c>
      <c r="H1737" s="92">
        <v>45324</v>
      </c>
    </row>
    <row r="1738" spans="1:8">
      <c r="A1738" s="114" t="s">
        <v>115</v>
      </c>
      <c r="B1738" s="61">
        <v>4146</v>
      </c>
      <c r="C1738" s="114" t="s">
        <v>147</v>
      </c>
      <c r="D1738" s="92">
        <v>45322</v>
      </c>
      <c r="E1738">
        <v>5800</v>
      </c>
      <c r="F1738" s="114" t="s">
        <v>89</v>
      </c>
      <c r="G1738" s="204" t="s">
        <v>458</v>
      </c>
      <c r="H1738" s="92">
        <v>45324</v>
      </c>
    </row>
    <row r="1739" spans="1:8">
      <c r="A1739" s="114" t="s">
        <v>115</v>
      </c>
      <c r="B1739" s="61">
        <v>4147</v>
      </c>
      <c r="C1739" s="114" t="s">
        <v>130</v>
      </c>
      <c r="D1739" s="92">
        <v>45322</v>
      </c>
      <c r="E1739">
        <v>1500</v>
      </c>
      <c r="F1739" s="114" t="s">
        <v>142</v>
      </c>
      <c r="G1739" s="204" t="s">
        <v>458</v>
      </c>
      <c r="H1739" s="92">
        <v>45324</v>
      </c>
    </row>
    <row r="1740" spans="1:8">
      <c r="A1740" s="114" t="s">
        <v>115</v>
      </c>
      <c r="B1740" s="61">
        <v>4148</v>
      </c>
      <c r="C1740" s="160" t="s">
        <v>152</v>
      </c>
      <c r="D1740" s="92">
        <v>45322</v>
      </c>
      <c r="E1740">
        <v>3600</v>
      </c>
      <c r="F1740" s="114" t="s">
        <v>164</v>
      </c>
      <c r="G1740" s="204" t="s">
        <v>458</v>
      </c>
      <c r="H1740" s="92">
        <v>45324</v>
      </c>
    </row>
    <row r="1741" spans="1:8">
      <c r="A1741" s="114" t="s">
        <v>73</v>
      </c>
      <c r="B1741" s="61">
        <v>2180</v>
      </c>
      <c r="C1741" s="114" t="s">
        <v>87</v>
      </c>
      <c r="D1741" s="92">
        <v>45322</v>
      </c>
      <c r="E1741">
        <f>1100+1700</f>
        <v>2800</v>
      </c>
      <c r="F1741" s="114" t="s">
        <v>91</v>
      </c>
      <c r="G1741" s="204" t="s">
        <v>458</v>
      </c>
      <c r="H1741" s="92">
        <v>45327</v>
      </c>
    </row>
    <row r="1742" spans="1:8">
      <c r="A1742" s="114" t="s">
        <v>115</v>
      </c>
      <c r="B1742" s="61">
        <v>4149</v>
      </c>
      <c r="C1742" s="114" t="s">
        <v>129</v>
      </c>
      <c r="D1742" s="92">
        <v>45322</v>
      </c>
      <c r="E1742">
        <v>500</v>
      </c>
      <c r="F1742" s="114" t="s">
        <v>142</v>
      </c>
      <c r="G1742" s="204" t="s">
        <v>458</v>
      </c>
      <c r="H1742" s="92">
        <v>45324</v>
      </c>
    </row>
    <row r="1743" spans="1:8">
      <c r="A1743" s="114" t="s">
        <v>73</v>
      </c>
      <c r="B1743" s="61">
        <v>2168</v>
      </c>
      <c r="C1743" s="114" t="s">
        <v>292</v>
      </c>
      <c r="D1743" s="92">
        <v>45322</v>
      </c>
      <c r="E1743">
        <v>2900</v>
      </c>
      <c r="F1743" s="114" t="s">
        <v>107</v>
      </c>
      <c r="G1743" s="204" t="s">
        <v>458</v>
      </c>
      <c r="H1743" s="92">
        <v>45324</v>
      </c>
    </row>
    <row r="1744" spans="1:8">
      <c r="A1744" s="114" t="s">
        <v>115</v>
      </c>
      <c r="B1744" s="61">
        <v>4150</v>
      </c>
      <c r="C1744" s="114" t="s">
        <v>132</v>
      </c>
      <c r="D1744" s="92">
        <v>45322</v>
      </c>
      <c r="E1744">
        <v>4000</v>
      </c>
      <c r="F1744" s="114" t="s">
        <v>135</v>
      </c>
      <c r="G1744" s="204" t="s">
        <v>458</v>
      </c>
      <c r="H1744" s="92">
        <v>45324</v>
      </c>
    </row>
    <row r="1745" spans="1:8">
      <c r="A1745" s="114" t="s">
        <v>115</v>
      </c>
      <c r="B1745" s="61">
        <v>4151</v>
      </c>
      <c r="C1745" s="114" t="s">
        <v>141</v>
      </c>
      <c r="D1745" s="92">
        <v>45322</v>
      </c>
      <c r="E1745">
        <v>2100</v>
      </c>
      <c r="F1745" s="114" t="s">
        <v>142</v>
      </c>
      <c r="G1745" s="204" t="s">
        <v>458</v>
      </c>
      <c r="H1745" s="92">
        <v>45324</v>
      </c>
    </row>
    <row r="1746" spans="1:8">
      <c r="A1746" s="114" t="s">
        <v>73</v>
      </c>
      <c r="B1746" s="61">
        <v>2169</v>
      </c>
      <c r="C1746" s="114" t="s">
        <v>321</v>
      </c>
      <c r="D1746" s="92">
        <v>45322</v>
      </c>
      <c r="E1746">
        <v>2100</v>
      </c>
      <c r="F1746" s="114" t="s">
        <v>8</v>
      </c>
      <c r="G1746" s="204" t="s">
        <v>458</v>
      </c>
      <c r="H1746" s="92">
        <v>45324</v>
      </c>
    </row>
    <row r="1747" spans="1:8">
      <c r="A1747" s="114" t="s">
        <v>73</v>
      </c>
      <c r="B1747" s="61">
        <v>2170</v>
      </c>
      <c r="C1747" s="87" t="s">
        <v>207</v>
      </c>
      <c r="D1747" s="92">
        <v>45322</v>
      </c>
      <c r="E1747">
        <v>9000</v>
      </c>
      <c r="F1747" s="87" t="s">
        <v>93</v>
      </c>
      <c r="G1747" s="204" t="s">
        <v>458</v>
      </c>
      <c r="H1747" s="92">
        <v>45324</v>
      </c>
    </row>
    <row r="1748" spans="1:8">
      <c r="A1748" s="114" t="s">
        <v>73</v>
      </c>
      <c r="B1748" s="207">
        <v>2171</v>
      </c>
      <c r="C1748" s="114" t="s">
        <v>81</v>
      </c>
      <c r="D1748" s="92">
        <v>45322</v>
      </c>
      <c r="E1748">
        <v>2000</v>
      </c>
      <c r="F1748" s="114" t="s">
        <v>92</v>
      </c>
      <c r="G1748" s="204" t="s">
        <v>458</v>
      </c>
      <c r="H1748" s="92">
        <v>45324</v>
      </c>
    </row>
    <row r="1749" spans="1:8">
      <c r="A1749" s="114" t="s">
        <v>115</v>
      </c>
      <c r="B1749">
        <v>4152</v>
      </c>
      <c r="C1749" s="114" t="s">
        <v>137</v>
      </c>
      <c r="D1749" s="92">
        <v>45322</v>
      </c>
      <c r="E1749">
        <v>4500</v>
      </c>
      <c r="F1749" s="114" t="s">
        <v>376</v>
      </c>
      <c r="G1749" s="204" t="s">
        <v>458</v>
      </c>
      <c r="H1749" s="92">
        <v>45324</v>
      </c>
    </row>
    <row r="1750" spans="1:8">
      <c r="A1750" s="114" t="s">
        <v>115</v>
      </c>
      <c r="B1750">
        <v>4153</v>
      </c>
      <c r="C1750" s="114" t="s">
        <v>149</v>
      </c>
      <c r="D1750" s="92">
        <v>45322</v>
      </c>
      <c r="E1750">
        <v>1500</v>
      </c>
      <c r="F1750" s="207" t="s">
        <v>8</v>
      </c>
      <c r="G1750" s="204" t="s">
        <v>458</v>
      </c>
      <c r="H1750" s="92">
        <v>45324</v>
      </c>
    </row>
    <row r="1751" spans="1:8">
      <c r="A1751" s="114" t="s">
        <v>73</v>
      </c>
      <c r="B1751" s="61">
        <v>2172</v>
      </c>
      <c r="C1751" s="114" t="s">
        <v>99</v>
      </c>
      <c r="D1751" s="92">
        <v>45322</v>
      </c>
      <c r="E1751">
        <v>3800</v>
      </c>
      <c r="F1751" s="114" t="s">
        <v>112</v>
      </c>
      <c r="G1751" s="204" t="s">
        <v>458</v>
      </c>
      <c r="H1751" s="92">
        <v>45324</v>
      </c>
    </row>
    <row r="1752" spans="1:8">
      <c r="A1752" s="114" t="s">
        <v>73</v>
      </c>
      <c r="B1752" s="61">
        <v>2173</v>
      </c>
      <c r="C1752" s="114" t="s">
        <v>80</v>
      </c>
      <c r="D1752" s="92">
        <v>45322</v>
      </c>
      <c r="E1752">
        <v>1600</v>
      </c>
      <c r="F1752" s="114" t="s">
        <v>3</v>
      </c>
      <c r="G1752" s="204" t="s">
        <v>458</v>
      </c>
      <c r="H1752" s="92">
        <v>45324</v>
      </c>
    </row>
    <row r="1753" spans="1:8">
      <c r="A1753" s="114" t="s">
        <v>73</v>
      </c>
      <c r="B1753" s="61">
        <v>2174</v>
      </c>
      <c r="C1753" s="114" t="s">
        <v>96</v>
      </c>
      <c r="D1753" s="92">
        <v>45322</v>
      </c>
      <c r="E1753">
        <v>3800</v>
      </c>
      <c r="F1753" s="114" t="s">
        <v>112</v>
      </c>
      <c r="G1753" s="204" t="s">
        <v>458</v>
      </c>
      <c r="H1753" s="92">
        <v>45324</v>
      </c>
    </row>
    <row r="1754" spans="1:8">
      <c r="A1754" s="114" t="s">
        <v>73</v>
      </c>
      <c r="B1754" s="61">
        <v>2175</v>
      </c>
      <c r="C1754" s="114" t="s">
        <v>378</v>
      </c>
      <c r="D1754" s="92">
        <v>45322</v>
      </c>
      <c r="E1754">
        <v>2500</v>
      </c>
      <c r="F1754" s="114" t="s">
        <v>8</v>
      </c>
      <c r="G1754" s="204" t="s">
        <v>458</v>
      </c>
      <c r="H1754" s="92">
        <v>45324</v>
      </c>
    </row>
    <row r="1755" spans="1:8">
      <c r="A1755" s="114" t="s">
        <v>115</v>
      </c>
      <c r="B1755">
        <v>4154</v>
      </c>
      <c r="C1755" s="114" t="s">
        <v>148</v>
      </c>
      <c r="D1755" s="92">
        <v>45322</v>
      </c>
      <c r="E1755">
        <v>4300</v>
      </c>
      <c r="F1755" s="114" t="s">
        <v>166</v>
      </c>
      <c r="G1755" s="204" t="s">
        <v>458</v>
      </c>
      <c r="H1755" s="92">
        <v>45324</v>
      </c>
    </row>
    <row r="1756" spans="1:8">
      <c r="A1756" s="114" t="s">
        <v>115</v>
      </c>
      <c r="B1756">
        <v>4155</v>
      </c>
      <c r="C1756" s="114" t="s">
        <v>138</v>
      </c>
      <c r="D1756" s="92">
        <v>45322</v>
      </c>
      <c r="E1756">
        <v>2900</v>
      </c>
      <c r="F1756" s="114" t="s">
        <v>135</v>
      </c>
      <c r="G1756" s="204" t="s">
        <v>458</v>
      </c>
      <c r="H1756" s="92">
        <v>45324</v>
      </c>
    </row>
    <row r="1757" spans="1:8">
      <c r="A1757" s="114" t="s">
        <v>73</v>
      </c>
      <c r="B1757" s="61">
        <v>2176</v>
      </c>
      <c r="C1757" s="114" t="s">
        <v>79</v>
      </c>
      <c r="D1757" s="92">
        <v>45322</v>
      </c>
      <c r="E1757">
        <v>1600</v>
      </c>
      <c r="F1757" s="114" t="s">
        <v>3</v>
      </c>
      <c r="G1757" s="204" t="s">
        <v>458</v>
      </c>
      <c r="H1757" s="92">
        <v>45324</v>
      </c>
    </row>
    <row r="1758" spans="1:8">
      <c r="A1758" s="114" t="s">
        <v>73</v>
      </c>
      <c r="B1758" s="61">
        <v>2177</v>
      </c>
      <c r="C1758" s="114" t="s">
        <v>106</v>
      </c>
      <c r="D1758" s="92">
        <v>45322</v>
      </c>
      <c r="E1758">
        <v>2900</v>
      </c>
      <c r="F1758" s="114" t="s">
        <v>107</v>
      </c>
      <c r="G1758" s="204" t="s">
        <v>458</v>
      </c>
      <c r="H1758" s="92">
        <v>45324</v>
      </c>
    </row>
    <row r="1759" spans="1:8">
      <c r="A1759" s="114" t="s">
        <v>115</v>
      </c>
      <c r="B1759">
        <v>4156</v>
      </c>
      <c r="C1759" s="114" t="s">
        <v>237</v>
      </c>
      <c r="D1759" s="92">
        <v>45322</v>
      </c>
      <c r="E1759">
        <v>8500</v>
      </c>
      <c r="F1759" s="114" t="s">
        <v>238</v>
      </c>
      <c r="G1759" s="204" t="s">
        <v>458</v>
      </c>
      <c r="H1759" s="92">
        <v>45324</v>
      </c>
    </row>
    <row r="1760" spans="1:8">
      <c r="A1760" s="114" t="s">
        <v>115</v>
      </c>
      <c r="B1760">
        <v>4157</v>
      </c>
      <c r="C1760" s="114" t="s">
        <v>146</v>
      </c>
      <c r="D1760" s="92">
        <v>45322</v>
      </c>
      <c r="E1760">
        <v>2000</v>
      </c>
      <c r="F1760" s="114" t="s">
        <v>8</v>
      </c>
      <c r="G1760" s="204" t="s">
        <v>458</v>
      </c>
      <c r="H1760" s="92">
        <v>45324</v>
      </c>
    </row>
    <row r="1761" spans="1:8">
      <c r="A1761" s="114" t="s">
        <v>115</v>
      </c>
      <c r="B1761">
        <v>4158</v>
      </c>
      <c r="C1761" s="114" t="s">
        <v>315</v>
      </c>
      <c r="D1761" s="92">
        <v>45322</v>
      </c>
      <c r="E1761">
        <v>3100</v>
      </c>
      <c r="F1761" s="114" t="s">
        <v>157</v>
      </c>
      <c r="G1761" s="204" t="s">
        <v>458</v>
      </c>
      <c r="H1761" s="92">
        <v>45324</v>
      </c>
    </row>
    <row r="1762" spans="1:8">
      <c r="A1762" s="114" t="s">
        <v>115</v>
      </c>
      <c r="B1762">
        <v>4159</v>
      </c>
      <c r="C1762" s="114" t="s">
        <v>344</v>
      </c>
      <c r="D1762" s="92">
        <v>45322</v>
      </c>
      <c r="E1762">
        <v>3500</v>
      </c>
      <c r="F1762" s="114" t="s">
        <v>8</v>
      </c>
      <c r="G1762" s="204" t="s">
        <v>458</v>
      </c>
      <c r="H1762" s="92">
        <v>45324</v>
      </c>
    </row>
    <row r="1763" spans="1:8">
      <c r="A1763" s="114" t="s">
        <v>73</v>
      </c>
      <c r="B1763" s="61">
        <v>2178</v>
      </c>
      <c r="C1763" s="114" t="s">
        <v>110</v>
      </c>
      <c r="D1763" s="92">
        <v>45322</v>
      </c>
      <c r="E1763">
        <v>2900</v>
      </c>
      <c r="F1763" s="114" t="s">
        <v>107</v>
      </c>
      <c r="G1763" s="204" t="s">
        <v>458</v>
      </c>
      <c r="H1763" s="92">
        <v>45324</v>
      </c>
    </row>
    <row r="1764" spans="1:8">
      <c r="A1764" s="114" t="s">
        <v>115</v>
      </c>
      <c r="B1764" s="61">
        <v>4160</v>
      </c>
      <c r="C1764" s="114" t="s">
        <v>289</v>
      </c>
      <c r="D1764" s="92">
        <v>45322</v>
      </c>
      <c r="E1764">
        <v>2300</v>
      </c>
      <c r="F1764" s="114" t="s">
        <v>290</v>
      </c>
      <c r="G1764" s="204" t="s">
        <v>458</v>
      </c>
      <c r="H1764" s="92">
        <v>45324</v>
      </c>
    </row>
    <row r="1765" spans="1:8">
      <c r="A1765" s="114" t="s">
        <v>73</v>
      </c>
      <c r="B1765" s="61">
        <v>2179</v>
      </c>
      <c r="C1765" t="s">
        <v>356</v>
      </c>
      <c r="D1765" s="92">
        <v>45322</v>
      </c>
      <c r="E1765">
        <v>6000</v>
      </c>
      <c r="F1765" t="s">
        <v>357</v>
      </c>
      <c r="G1765" s="204" t="s">
        <v>458</v>
      </c>
      <c r="H1765" s="92">
        <v>45324</v>
      </c>
    </row>
    <row r="1766" spans="1:8">
      <c r="A1766" s="114" t="s">
        <v>115</v>
      </c>
      <c r="B1766" s="61">
        <v>4161</v>
      </c>
      <c r="C1766" s="114" t="s">
        <v>127</v>
      </c>
      <c r="D1766" s="92">
        <v>45322</v>
      </c>
      <c r="E1766">
        <v>5800</v>
      </c>
      <c r="F1766" s="114" t="s">
        <v>157</v>
      </c>
      <c r="G1766" s="204" t="s">
        <v>458</v>
      </c>
      <c r="H1766" s="92">
        <v>45324</v>
      </c>
    </row>
    <row r="1767" spans="1:8">
      <c r="A1767" s="114" t="s">
        <v>115</v>
      </c>
      <c r="B1767" s="61">
        <v>4162</v>
      </c>
      <c r="C1767" t="s">
        <v>416</v>
      </c>
      <c r="D1767" s="92">
        <v>45322</v>
      </c>
      <c r="E1767">
        <v>10500</v>
      </c>
      <c r="F1767" t="s">
        <v>290</v>
      </c>
      <c r="G1767" s="204" t="s">
        <v>458</v>
      </c>
      <c r="H1767" s="92">
        <v>45324</v>
      </c>
    </row>
    <row r="1768" spans="1:8">
      <c r="A1768" s="207" t="s">
        <v>250</v>
      </c>
      <c r="B1768">
        <v>162</v>
      </c>
      <c r="C1768" t="s">
        <v>144</v>
      </c>
      <c r="D1768" s="92">
        <v>45328</v>
      </c>
      <c r="E1768">
        <v>34650</v>
      </c>
      <c r="F1768" s="207" t="s">
        <v>162</v>
      </c>
      <c r="G1768" t="s">
        <v>459</v>
      </c>
      <c r="H1768" s="92">
        <v>45328</v>
      </c>
    </row>
    <row r="1769" spans="1:8">
      <c r="A1769" s="207" t="s">
        <v>250</v>
      </c>
      <c r="B1769">
        <v>163</v>
      </c>
      <c r="C1769" t="s">
        <v>144</v>
      </c>
      <c r="D1769" s="92">
        <v>45338</v>
      </c>
      <c r="E1769">
        <f>1336*18</f>
        <v>24048</v>
      </c>
      <c r="F1769" s="207" t="s">
        <v>162</v>
      </c>
      <c r="G1769" s="204" t="s">
        <v>458</v>
      </c>
      <c r="H1769" s="92">
        <v>45338</v>
      </c>
    </row>
    <row r="1770" spans="1:8">
      <c r="A1770" s="114" t="s">
        <v>115</v>
      </c>
      <c r="B1770" s="61">
        <v>4163</v>
      </c>
      <c r="C1770" s="114" t="s">
        <v>170</v>
      </c>
      <c r="D1770" s="92">
        <v>45350</v>
      </c>
      <c r="E1770">
        <v>3400</v>
      </c>
      <c r="F1770" s="114" t="s">
        <v>161</v>
      </c>
      <c r="G1770" s="204" t="s">
        <v>461</v>
      </c>
      <c r="H1770" s="92">
        <v>45350</v>
      </c>
    </row>
    <row r="1771" spans="1:8">
      <c r="A1771" s="114" t="s">
        <v>73</v>
      </c>
      <c r="B1771" s="61">
        <v>2181</v>
      </c>
      <c r="C1771" s="114" t="s">
        <v>275</v>
      </c>
      <c r="D1771" s="92">
        <v>45350</v>
      </c>
      <c r="E1771">
        <v>5400</v>
      </c>
      <c r="F1771" s="114" t="s">
        <v>89</v>
      </c>
      <c r="G1771" s="204" t="s">
        <v>461</v>
      </c>
      <c r="H1771" s="92">
        <v>45350</v>
      </c>
    </row>
    <row r="1772" spans="1:8">
      <c r="A1772" s="114" t="s">
        <v>115</v>
      </c>
      <c r="B1772" s="61">
        <v>4164</v>
      </c>
      <c r="C1772" s="114" t="s">
        <v>131</v>
      </c>
      <c r="D1772" s="92">
        <v>45350</v>
      </c>
      <c r="E1772">
        <v>1200</v>
      </c>
      <c r="F1772" s="114" t="s">
        <v>142</v>
      </c>
      <c r="G1772" s="204" t="s">
        <v>461</v>
      </c>
      <c r="H1772" s="92">
        <v>45350</v>
      </c>
    </row>
    <row r="1773" spans="1:8">
      <c r="A1773" s="114" t="s">
        <v>115</v>
      </c>
      <c r="B1773" s="61">
        <v>4165</v>
      </c>
      <c r="C1773" s="114" t="s">
        <v>128</v>
      </c>
      <c r="D1773" s="92">
        <v>45350</v>
      </c>
      <c r="E1773">
        <v>12000</v>
      </c>
      <c r="F1773" s="114" t="s">
        <v>142</v>
      </c>
      <c r="G1773" s="204" t="s">
        <v>461</v>
      </c>
      <c r="H1773" s="92">
        <v>45350</v>
      </c>
    </row>
    <row r="1774" spans="1:8">
      <c r="A1774" s="114" t="s">
        <v>115</v>
      </c>
      <c r="B1774" s="61">
        <v>4166</v>
      </c>
      <c r="C1774" s="114" t="s">
        <v>134</v>
      </c>
      <c r="D1774" s="92">
        <v>45350</v>
      </c>
      <c r="E1774">
        <v>3300</v>
      </c>
      <c r="F1774" s="114" t="s">
        <v>135</v>
      </c>
      <c r="G1774" s="204" t="s">
        <v>461</v>
      </c>
      <c r="H1774" s="92">
        <v>45350</v>
      </c>
    </row>
    <row r="1775" spans="1:8">
      <c r="A1775" s="114" t="s">
        <v>73</v>
      </c>
      <c r="B1775" s="61">
        <v>2182</v>
      </c>
      <c r="C1775" s="114" t="s">
        <v>109</v>
      </c>
      <c r="D1775" s="92">
        <v>45350</v>
      </c>
      <c r="E1775">
        <v>2900</v>
      </c>
      <c r="F1775" s="114" t="s">
        <v>91</v>
      </c>
      <c r="G1775" s="204" t="s">
        <v>461</v>
      </c>
      <c r="H1775" s="92">
        <v>45350</v>
      </c>
    </row>
    <row r="1776" spans="1:8">
      <c r="A1776" s="114" t="s">
        <v>115</v>
      </c>
      <c r="B1776" s="61">
        <v>4167</v>
      </c>
      <c r="C1776" s="114" t="s">
        <v>147</v>
      </c>
      <c r="D1776" s="92">
        <v>45350</v>
      </c>
      <c r="E1776">
        <v>5800</v>
      </c>
      <c r="F1776" s="114" t="s">
        <v>89</v>
      </c>
      <c r="G1776" s="204" t="s">
        <v>461</v>
      </c>
      <c r="H1776" s="92">
        <v>45350</v>
      </c>
    </row>
    <row r="1777" spans="1:8">
      <c r="A1777" s="114" t="s">
        <v>115</v>
      </c>
      <c r="B1777" s="61">
        <v>4168</v>
      </c>
      <c r="C1777" s="114" t="s">
        <v>130</v>
      </c>
      <c r="D1777" s="92">
        <v>45350</v>
      </c>
      <c r="E1777">
        <v>1500</v>
      </c>
      <c r="F1777" s="114" t="s">
        <v>142</v>
      </c>
      <c r="G1777" s="204" t="s">
        <v>461</v>
      </c>
      <c r="H1777" s="92">
        <v>45350</v>
      </c>
    </row>
    <row r="1778" spans="1:8">
      <c r="A1778" s="114" t="s">
        <v>115</v>
      </c>
      <c r="B1778" s="61">
        <v>4169</v>
      </c>
      <c r="C1778" s="160" t="s">
        <v>152</v>
      </c>
      <c r="D1778" s="92">
        <v>45350</v>
      </c>
      <c r="E1778">
        <v>3600</v>
      </c>
      <c r="F1778" s="114" t="s">
        <v>164</v>
      </c>
      <c r="G1778" s="204" t="s">
        <v>461</v>
      </c>
      <c r="H1778" s="92">
        <v>45350</v>
      </c>
    </row>
    <row r="1779" spans="1:8">
      <c r="A1779" s="114" t="s">
        <v>73</v>
      </c>
      <c r="B1779" s="61">
        <v>2183</v>
      </c>
      <c r="C1779" s="114" t="s">
        <v>87</v>
      </c>
      <c r="D1779" s="92">
        <v>45350</v>
      </c>
      <c r="E1779">
        <f>1100+1700</f>
        <v>2800</v>
      </c>
      <c r="F1779" s="114" t="s">
        <v>91</v>
      </c>
      <c r="G1779" s="204" t="s">
        <v>461</v>
      </c>
      <c r="H1779" s="92">
        <v>45350</v>
      </c>
    </row>
    <row r="1780" spans="1:8">
      <c r="A1780" s="114" t="s">
        <v>115</v>
      </c>
      <c r="B1780" s="61">
        <v>4170</v>
      </c>
      <c r="C1780" s="114" t="s">
        <v>129</v>
      </c>
      <c r="D1780" s="92">
        <v>45350</v>
      </c>
      <c r="E1780">
        <v>500</v>
      </c>
      <c r="F1780" s="114" t="s">
        <v>142</v>
      </c>
      <c r="G1780" s="204" t="s">
        <v>461</v>
      </c>
      <c r="H1780" s="92">
        <v>45350</v>
      </c>
    </row>
    <row r="1781" spans="1:8">
      <c r="A1781" s="114" t="s">
        <v>73</v>
      </c>
      <c r="B1781" s="61">
        <v>2184</v>
      </c>
      <c r="C1781" s="114" t="s">
        <v>292</v>
      </c>
      <c r="D1781" s="92">
        <v>45350</v>
      </c>
      <c r="E1781">
        <v>2900</v>
      </c>
      <c r="F1781" s="114" t="s">
        <v>107</v>
      </c>
      <c r="G1781" s="204" t="s">
        <v>461</v>
      </c>
      <c r="H1781" s="92">
        <v>45350</v>
      </c>
    </row>
    <row r="1782" spans="1:8">
      <c r="A1782" s="114" t="s">
        <v>115</v>
      </c>
      <c r="B1782" s="61">
        <v>4171</v>
      </c>
      <c r="C1782" s="114" t="s">
        <v>132</v>
      </c>
      <c r="D1782" s="92">
        <v>45350</v>
      </c>
      <c r="E1782">
        <v>4000</v>
      </c>
      <c r="F1782" s="114" t="s">
        <v>135</v>
      </c>
      <c r="G1782" s="204" t="s">
        <v>461</v>
      </c>
      <c r="H1782" s="92">
        <v>45350</v>
      </c>
    </row>
    <row r="1783" spans="1:8">
      <c r="A1783" s="114" t="s">
        <v>115</v>
      </c>
      <c r="B1783" s="61">
        <v>4172</v>
      </c>
      <c r="C1783" s="114" t="s">
        <v>141</v>
      </c>
      <c r="D1783" s="92">
        <v>45350</v>
      </c>
      <c r="E1783">
        <v>2100</v>
      </c>
      <c r="F1783" s="114" t="s">
        <v>142</v>
      </c>
      <c r="G1783" s="204" t="s">
        <v>461</v>
      </c>
      <c r="H1783" s="92">
        <v>45350</v>
      </c>
    </row>
    <row r="1784" spans="1:8">
      <c r="A1784" s="114" t="s">
        <v>73</v>
      </c>
      <c r="B1784" s="61">
        <v>2185</v>
      </c>
      <c r="C1784" s="114" t="s">
        <v>321</v>
      </c>
      <c r="D1784" s="92">
        <v>45350</v>
      </c>
      <c r="E1784">
        <v>2100</v>
      </c>
      <c r="F1784" s="114" t="s">
        <v>8</v>
      </c>
      <c r="G1784" s="204" t="s">
        <v>461</v>
      </c>
      <c r="H1784" s="92">
        <v>45350</v>
      </c>
    </row>
    <row r="1785" spans="1:8">
      <c r="A1785" s="114" t="s">
        <v>73</v>
      </c>
      <c r="B1785" s="61">
        <v>2186</v>
      </c>
      <c r="C1785" s="87" t="s">
        <v>207</v>
      </c>
      <c r="D1785" s="92">
        <v>45350</v>
      </c>
      <c r="E1785">
        <v>9000</v>
      </c>
      <c r="F1785" s="87" t="s">
        <v>93</v>
      </c>
      <c r="G1785" s="204" t="s">
        <v>461</v>
      </c>
      <c r="H1785" s="92">
        <v>45350</v>
      </c>
    </row>
    <row r="1786" spans="1:8">
      <c r="A1786" s="114" t="s">
        <v>73</v>
      </c>
      <c r="B1786" s="207">
        <v>2187</v>
      </c>
      <c r="C1786" s="114" t="s">
        <v>81</v>
      </c>
      <c r="D1786" s="92">
        <v>45350</v>
      </c>
      <c r="E1786">
        <v>2000</v>
      </c>
      <c r="F1786" s="114" t="s">
        <v>92</v>
      </c>
      <c r="G1786" s="204" t="s">
        <v>461</v>
      </c>
      <c r="H1786" s="92">
        <v>45350</v>
      </c>
    </row>
    <row r="1787" spans="1:8">
      <c r="A1787" s="114" t="s">
        <v>115</v>
      </c>
      <c r="B1787" s="61">
        <v>4173</v>
      </c>
      <c r="C1787" s="114" t="s">
        <v>137</v>
      </c>
      <c r="D1787" s="92">
        <v>45350</v>
      </c>
      <c r="E1787">
        <v>4500</v>
      </c>
      <c r="F1787" s="114" t="s">
        <v>376</v>
      </c>
      <c r="G1787" s="204" t="s">
        <v>461</v>
      </c>
      <c r="H1787" s="92">
        <v>45350</v>
      </c>
    </row>
    <row r="1788" spans="1:8">
      <c r="A1788" s="114" t="s">
        <v>115</v>
      </c>
      <c r="B1788" s="61">
        <v>4174</v>
      </c>
      <c r="C1788" s="114" t="s">
        <v>149</v>
      </c>
      <c r="D1788" s="92">
        <v>45350</v>
      </c>
      <c r="E1788">
        <v>1500</v>
      </c>
      <c r="F1788" s="207" t="s">
        <v>8</v>
      </c>
      <c r="G1788" s="204" t="s">
        <v>461</v>
      </c>
      <c r="H1788" s="92">
        <v>45350</v>
      </c>
    </row>
    <row r="1789" spans="1:8">
      <c r="A1789" s="114" t="s">
        <v>73</v>
      </c>
      <c r="B1789" s="61">
        <v>2188</v>
      </c>
      <c r="C1789" s="114" t="s">
        <v>99</v>
      </c>
      <c r="D1789" s="92">
        <v>45350</v>
      </c>
      <c r="E1789">
        <v>3800</v>
      </c>
      <c r="F1789" s="114" t="s">
        <v>112</v>
      </c>
      <c r="G1789" s="204" t="s">
        <v>461</v>
      </c>
      <c r="H1789" s="92">
        <v>45350</v>
      </c>
    </row>
    <row r="1790" spans="1:8">
      <c r="A1790" s="114" t="s">
        <v>73</v>
      </c>
      <c r="B1790" s="61">
        <v>2189</v>
      </c>
      <c r="C1790" s="114" t="s">
        <v>80</v>
      </c>
      <c r="D1790" s="92">
        <v>45350</v>
      </c>
      <c r="E1790">
        <v>1600</v>
      </c>
      <c r="F1790" s="114" t="s">
        <v>3</v>
      </c>
      <c r="G1790" s="204" t="s">
        <v>461</v>
      </c>
      <c r="H1790" s="92">
        <v>45350</v>
      </c>
    </row>
    <row r="1791" spans="1:8">
      <c r="A1791" s="114" t="s">
        <v>73</v>
      </c>
      <c r="B1791" s="61">
        <v>2190</v>
      </c>
      <c r="C1791" s="114" t="s">
        <v>96</v>
      </c>
      <c r="D1791" s="92">
        <v>45350</v>
      </c>
      <c r="E1791">
        <v>3800</v>
      </c>
      <c r="F1791" s="114" t="s">
        <v>112</v>
      </c>
      <c r="G1791" s="204" t="s">
        <v>461</v>
      </c>
      <c r="H1791" s="92">
        <v>45350</v>
      </c>
    </row>
    <row r="1792" spans="1:8">
      <c r="A1792" s="114" t="s">
        <v>73</v>
      </c>
      <c r="B1792" s="61">
        <v>2191</v>
      </c>
      <c r="C1792" s="114" t="s">
        <v>378</v>
      </c>
      <c r="D1792" s="92">
        <v>45350</v>
      </c>
      <c r="E1792">
        <v>2500</v>
      </c>
      <c r="F1792" s="114" t="s">
        <v>8</v>
      </c>
      <c r="G1792" s="204" t="s">
        <v>461</v>
      </c>
      <c r="H1792" s="92">
        <v>45350</v>
      </c>
    </row>
    <row r="1793" spans="1:9">
      <c r="A1793" s="114" t="s">
        <v>115</v>
      </c>
      <c r="B1793" s="61">
        <v>4175</v>
      </c>
      <c r="C1793" s="114" t="s">
        <v>148</v>
      </c>
      <c r="D1793" s="92">
        <v>45350</v>
      </c>
      <c r="E1793">
        <v>4300</v>
      </c>
      <c r="F1793" s="114" t="s">
        <v>166</v>
      </c>
      <c r="G1793" s="204" t="s">
        <v>461</v>
      </c>
      <c r="H1793" s="92">
        <v>45350</v>
      </c>
    </row>
    <row r="1794" spans="1:9">
      <c r="A1794" s="114" t="s">
        <v>115</v>
      </c>
      <c r="B1794" s="61">
        <v>4176</v>
      </c>
      <c r="C1794" s="114" t="s">
        <v>138</v>
      </c>
      <c r="D1794" s="92">
        <v>45350</v>
      </c>
      <c r="E1794">
        <v>2900</v>
      </c>
      <c r="F1794" s="114" t="s">
        <v>135</v>
      </c>
      <c r="G1794" s="204" t="s">
        <v>461</v>
      </c>
      <c r="H1794" s="92">
        <v>45350</v>
      </c>
    </row>
    <row r="1795" spans="1:9">
      <c r="A1795" s="114" t="s">
        <v>73</v>
      </c>
      <c r="B1795" s="61">
        <v>2192</v>
      </c>
      <c r="C1795" s="114" t="s">
        <v>79</v>
      </c>
      <c r="D1795" s="92">
        <v>45350</v>
      </c>
      <c r="E1795">
        <v>1600</v>
      </c>
      <c r="F1795" s="114" t="s">
        <v>3</v>
      </c>
      <c r="G1795" s="204" t="s">
        <v>461</v>
      </c>
      <c r="H1795" s="92">
        <v>45350</v>
      </c>
    </row>
    <row r="1796" spans="1:9">
      <c r="A1796" s="114" t="s">
        <v>73</v>
      </c>
      <c r="B1796" s="61">
        <v>2193</v>
      </c>
      <c r="C1796" s="114" t="s">
        <v>106</v>
      </c>
      <c r="D1796" s="92">
        <v>45350</v>
      </c>
      <c r="E1796">
        <v>2900</v>
      </c>
      <c r="F1796" s="114" t="s">
        <v>107</v>
      </c>
      <c r="G1796" s="204" t="s">
        <v>461</v>
      </c>
      <c r="H1796" s="92">
        <v>45350</v>
      </c>
    </row>
    <row r="1797" spans="1:9">
      <c r="A1797" s="114" t="s">
        <v>115</v>
      </c>
      <c r="B1797" s="61">
        <v>4177</v>
      </c>
      <c r="C1797" s="114" t="s">
        <v>237</v>
      </c>
      <c r="D1797" s="92">
        <v>45350</v>
      </c>
      <c r="E1797">
        <v>8500</v>
      </c>
      <c r="F1797" s="114" t="s">
        <v>238</v>
      </c>
      <c r="G1797" s="204" t="s">
        <v>461</v>
      </c>
      <c r="H1797" s="92">
        <v>45350</v>
      </c>
    </row>
    <row r="1798" spans="1:9">
      <c r="A1798" s="114" t="s">
        <v>115</v>
      </c>
      <c r="B1798" s="61">
        <v>4178</v>
      </c>
      <c r="C1798" s="114" t="s">
        <v>146</v>
      </c>
      <c r="D1798" s="92">
        <v>45350</v>
      </c>
      <c r="E1798">
        <v>2000</v>
      </c>
      <c r="F1798" s="114" t="s">
        <v>8</v>
      </c>
      <c r="G1798" s="204" t="s">
        <v>461</v>
      </c>
      <c r="H1798" s="92">
        <v>45350</v>
      </c>
    </row>
    <row r="1799" spans="1:9">
      <c r="A1799" s="114" t="s">
        <v>115</v>
      </c>
      <c r="B1799" s="61">
        <v>4179</v>
      </c>
      <c r="C1799" s="114" t="s">
        <v>315</v>
      </c>
      <c r="D1799" s="92">
        <v>45350</v>
      </c>
      <c r="E1799">
        <v>3100</v>
      </c>
      <c r="F1799" s="114" t="s">
        <v>157</v>
      </c>
      <c r="G1799" s="204" t="s">
        <v>461</v>
      </c>
      <c r="H1799" s="92">
        <v>45350</v>
      </c>
    </row>
    <row r="1800" spans="1:9">
      <c r="A1800" s="114" t="s">
        <v>115</v>
      </c>
      <c r="B1800" s="61">
        <v>4180</v>
      </c>
      <c r="C1800" s="114" t="s">
        <v>344</v>
      </c>
      <c r="D1800" s="92">
        <v>45350</v>
      </c>
      <c r="E1800">
        <v>3500</v>
      </c>
      <c r="F1800" s="114" t="s">
        <v>8</v>
      </c>
      <c r="G1800" s="204" t="s">
        <v>461</v>
      </c>
      <c r="H1800" s="92">
        <v>45350</v>
      </c>
    </row>
    <row r="1801" spans="1:9">
      <c r="A1801" s="114" t="s">
        <v>73</v>
      </c>
      <c r="B1801" s="61">
        <v>2194</v>
      </c>
      <c r="C1801" s="114" t="s">
        <v>110</v>
      </c>
      <c r="D1801" s="92">
        <v>45350</v>
      </c>
      <c r="E1801">
        <v>2900</v>
      </c>
      <c r="F1801" s="114" t="s">
        <v>107</v>
      </c>
      <c r="G1801" s="204" t="s">
        <v>461</v>
      </c>
      <c r="H1801" s="92">
        <v>45350</v>
      </c>
    </row>
    <row r="1802" spans="1:9">
      <c r="A1802" s="114" t="s">
        <v>115</v>
      </c>
      <c r="B1802" s="61">
        <v>4181</v>
      </c>
      <c r="C1802" s="114" t="s">
        <v>289</v>
      </c>
      <c r="D1802" s="92">
        <v>45350</v>
      </c>
      <c r="E1802">
        <v>2300</v>
      </c>
      <c r="F1802" s="114" t="s">
        <v>290</v>
      </c>
      <c r="G1802" s="204" t="s">
        <v>461</v>
      </c>
      <c r="H1802" s="92">
        <v>45350</v>
      </c>
    </row>
    <row r="1803" spans="1:9">
      <c r="A1803" s="114" t="s">
        <v>73</v>
      </c>
      <c r="B1803" s="61">
        <v>2195</v>
      </c>
      <c r="C1803" t="s">
        <v>356</v>
      </c>
      <c r="D1803" s="92">
        <v>45350</v>
      </c>
      <c r="E1803">
        <v>6000</v>
      </c>
      <c r="F1803" t="s">
        <v>357</v>
      </c>
      <c r="G1803" s="204" t="s">
        <v>461</v>
      </c>
      <c r="H1803" s="92">
        <v>45350</v>
      </c>
    </row>
    <row r="1804" spans="1:9">
      <c r="A1804" s="114" t="s">
        <v>115</v>
      </c>
      <c r="B1804" s="61">
        <v>4182</v>
      </c>
      <c r="C1804" s="114" t="s">
        <v>127</v>
      </c>
      <c r="D1804" s="92"/>
      <c r="E1804">
        <v>5800</v>
      </c>
      <c r="F1804" s="114" t="s">
        <v>157</v>
      </c>
      <c r="G1804" s="204" t="s">
        <v>461</v>
      </c>
      <c r="H1804" s="92"/>
    </row>
    <row r="1805" spans="1:9">
      <c r="A1805" s="114" t="s">
        <v>115</v>
      </c>
      <c r="B1805" s="61">
        <v>4183</v>
      </c>
      <c r="C1805" t="s">
        <v>416</v>
      </c>
      <c r="D1805" s="92">
        <v>45350</v>
      </c>
      <c r="E1805">
        <v>10500</v>
      </c>
      <c r="F1805" t="s">
        <v>290</v>
      </c>
      <c r="G1805" s="204" t="s">
        <v>461</v>
      </c>
      <c r="H1805" s="92">
        <v>45350</v>
      </c>
    </row>
    <row r="1806" spans="1:9">
      <c r="A1806" s="87" t="s">
        <v>73</v>
      </c>
      <c r="B1806" s="87">
        <v>2196</v>
      </c>
      <c r="C1806" s="87" t="s">
        <v>330</v>
      </c>
      <c r="D1806" s="102">
        <v>45363</v>
      </c>
      <c r="E1806" s="87">
        <f>8700+600</f>
        <v>9300</v>
      </c>
      <c r="F1806" s="87" t="s">
        <v>8</v>
      </c>
      <c r="G1806" s="114" t="s">
        <v>462</v>
      </c>
      <c r="H1806" s="102">
        <v>45363</v>
      </c>
      <c r="I1806">
        <v>600</v>
      </c>
    </row>
    <row r="1807" spans="1:9">
      <c r="A1807" s="87" t="s">
        <v>115</v>
      </c>
      <c r="B1807" s="87">
        <v>4184</v>
      </c>
      <c r="C1807" s="87" t="s">
        <v>235</v>
      </c>
      <c r="D1807" s="102">
        <v>45363</v>
      </c>
      <c r="E1807" s="87">
        <v>27000</v>
      </c>
      <c r="F1807" s="87" t="s">
        <v>8</v>
      </c>
      <c r="G1807" s="114" t="s">
        <v>462</v>
      </c>
      <c r="H1807" s="102">
        <v>45363</v>
      </c>
      <c r="I1807" s="204">
        <v>1000</v>
      </c>
    </row>
    <row r="1808" spans="1:9">
      <c r="A1808" s="87" t="s">
        <v>115</v>
      </c>
      <c r="B1808" s="87">
        <v>4185</v>
      </c>
      <c r="C1808" s="87" t="s">
        <v>234</v>
      </c>
      <c r="D1808" s="102">
        <v>45363</v>
      </c>
      <c r="E1808" s="87">
        <f>34500+1500</f>
        <v>36000</v>
      </c>
      <c r="F1808" s="87" t="s">
        <v>8</v>
      </c>
      <c r="G1808" s="114" t="s">
        <v>462</v>
      </c>
      <c r="H1808" s="102">
        <v>45363</v>
      </c>
      <c r="I1808" s="204">
        <v>1500</v>
      </c>
    </row>
    <row r="1809" spans="1:9">
      <c r="A1809" s="87" t="s">
        <v>73</v>
      </c>
      <c r="B1809" s="87">
        <v>2197</v>
      </c>
      <c r="C1809" s="87" t="s">
        <v>230</v>
      </c>
      <c r="D1809" s="102">
        <v>45363</v>
      </c>
      <c r="E1809" s="87">
        <v>18800</v>
      </c>
      <c r="F1809" s="87" t="s">
        <v>231</v>
      </c>
      <c r="G1809" s="114" t="s">
        <v>462</v>
      </c>
      <c r="H1809" s="102"/>
      <c r="I1809">
        <v>600</v>
      </c>
    </row>
    <row r="1810" spans="1:9">
      <c r="A1810" s="87" t="s">
        <v>115</v>
      </c>
      <c r="B1810" s="87">
        <v>4186</v>
      </c>
      <c r="C1810" s="87" t="s">
        <v>233</v>
      </c>
      <c r="D1810" s="102">
        <v>45363</v>
      </c>
      <c r="E1810" s="87">
        <f>15500+600</f>
        <v>16100</v>
      </c>
      <c r="F1810" s="87" t="s">
        <v>8</v>
      </c>
      <c r="G1810" s="114" t="s">
        <v>462</v>
      </c>
      <c r="H1810" s="102"/>
      <c r="I1810">
        <v>600</v>
      </c>
    </row>
    <row r="1811" spans="1:9">
      <c r="A1811" t="s">
        <v>115</v>
      </c>
      <c r="B1811" s="207">
        <v>4187</v>
      </c>
      <c r="C1811" s="205" t="s">
        <v>394</v>
      </c>
      <c r="D1811" s="102">
        <v>45363</v>
      </c>
      <c r="E1811">
        <v>6000</v>
      </c>
      <c r="F1811" s="87" t="s">
        <v>8</v>
      </c>
      <c r="G1811" s="114" t="s">
        <v>462</v>
      </c>
      <c r="H1811" s="115"/>
      <c r="I1811">
        <v>0</v>
      </c>
    </row>
    <row r="1812" spans="1:9">
      <c r="A1812" t="s">
        <v>250</v>
      </c>
      <c r="B1812">
        <v>165</v>
      </c>
      <c r="C1812" t="s">
        <v>144</v>
      </c>
      <c r="D1812" s="92">
        <v>45366</v>
      </c>
      <c r="E1812">
        <f>1334*18</f>
        <v>24012</v>
      </c>
      <c r="F1812" s="207" t="s">
        <v>162</v>
      </c>
      <c r="G1812" s="227" t="s">
        <v>461</v>
      </c>
      <c r="H1812" s="92">
        <v>45366</v>
      </c>
    </row>
    <row r="1813" spans="1:9">
      <c r="A1813" s="207" t="s">
        <v>115</v>
      </c>
      <c r="B1813" s="61">
        <v>4188</v>
      </c>
      <c r="C1813" s="114" t="s">
        <v>170</v>
      </c>
      <c r="D1813" s="92">
        <v>45376</v>
      </c>
      <c r="E1813">
        <v>3400</v>
      </c>
      <c r="F1813" s="114" t="s">
        <v>161</v>
      </c>
      <c r="G1813" s="204" t="s">
        <v>468</v>
      </c>
      <c r="H1813" s="92">
        <v>45376</v>
      </c>
    </row>
    <row r="1814" spans="1:9">
      <c r="A1814" s="207" t="s">
        <v>73</v>
      </c>
      <c r="B1814">
        <v>2198</v>
      </c>
      <c r="C1814" s="114" t="s">
        <v>354</v>
      </c>
      <c r="D1814" s="92">
        <v>45376</v>
      </c>
      <c r="E1814">
        <v>7500</v>
      </c>
      <c r="F1814" s="114" t="s">
        <v>8</v>
      </c>
      <c r="G1814" t="s">
        <v>469</v>
      </c>
      <c r="H1814" s="92">
        <v>45376</v>
      </c>
    </row>
    <row r="1815" spans="1:9">
      <c r="A1815" s="207" t="s">
        <v>115</v>
      </c>
      <c r="B1815">
        <v>4189</v>
      </c>
      <c r="C1815" s="114" t="s">
        <v>190</v>
      </c>
      <c r="D1815" s="92">
        <v>45376</v>
      </c>
      <c r="E1815">
        <v>9600</v>
      </c>
      <c r="F1815" s="114" t="s">
        <v>142</v>
      </c>
      <c r="G1815" t="s">
        <v>469</v>
      </c>
      <c r="H1815" s="92">
        <v>45376</v>
      </c>
    </row>
    <row r="1816" spans="1:9">
      <c r="A1816" s="207" t="s">
        <v>73</v>
      </c>
      <c r="B1816">
        <v>2199</v>
      </c>
      <c r="C1816" s="114" t="s">
        <v>102</v>
      </c>
      <c r="D1816" s="92">
        <v>45376</v>
      </c>
      <c r="E1816" s="207">
        <v>5800</v>
      </c>
      <c r="F1816" s="114" t="s">
        <v>8</v>
      </c>
      <c r="G1816" s="207" t="s">
        <v>470</v>
      </c>
      <c r="H1816" s="92">
        <v>45376</v>
      </c>
    </row>
    <row r="1817" spans="1:9">
      <c r="A1817" s="207" t="s">
        <v>73</v>
      </c>
      <c r="B1817">
        <v>2200</v>
      </c>
      <c r="C1817" s="114" t="s">
        <v>275</v>
      </c>
      <c r="D1817" s="92">
        <v>45376</v>
      </c>
      <c r="E1817">
        <v>5400</v>
      </c>
      <c r="F1817" s="114" t="s">
        <v>89</v>
      </c>
      <c r="G1817" s="204" t="s">
        <v>468</v>
      </c>
      <c r="H1817" s="92">
        <v>45376</v>
      </c>
    </row>
    <row r="1818" spans="1:9">
      <c r="A1818" s="207" t="s">
        <v>115</v>
      </c>
      <c r="B1818">
        <v>4190</v>
      </c>
      <c r="C1818" s="114" t="s">
        <v>131</v>
      </c>
      <c r="D1818" s="92">
        <v>45376</v>
      </c>
      <c r="E1818">
        <v>1200</v>
      </c>
      <c r="F1818" s="114" t="s">
        <v>142</v>
      </c>
      <c r="G1818" s="204" t="s">
        <v>468</v>
      </c>
      <c r="H1818" s="92">
        <v>45376</v>
      </c>
    </row>
    <row r="1819" spans="1:9">
      <c r="A1819" s="207" t="s">
        <v>115</v>
      </c>
      <c r="B1819">
        <v>4191</v>
      </c>
      <c r="C1819" s="114" t="s">
        <v>128</v>
      </c>
      <c r="D1819" s="92">
        <v>45376</v>
      </c>
      <c r="E1819">
        <v>12000</v>
      </c>
      <c r="F1819" s="114" t="s">
        <v>142</v>
      </c>
      <c r="G1819" s="204" t="s">
        <v>468</v>
      </c>
      <c r="H1819" s="92">
        <v>45376</v>
      </c>
    </row>
    <row r="1820" spans="1:9">
      <c r="A1820" s="207" t="s">
        <v>115</v>
      </c>
      <c r="B1820">
        <v>4192</v>
      </c>
      <c r="C1820" s="114" t="s">
        <v>134</v>
      </c>
      <c r="D1820" s="92">
        <v>45376</v>
      </c>
      <c r="E1820">
        <v>3300</v>
      </c>
      <c r="F1820" s="114" t="s">
        <v>135</v>
      </c>
      <c r="G1820" s="204" t="s">
        <v>468</v>
      </c>
      <c r="H1820" s="92">
        <v>45376</v>
      </c>
    </row>
    <row r="1821" spans="1:9">
      <c r="A1821" s="207" t="s">
        <v>73</v>
      </c>
      <c r="B1821">
        <v>2201</v>
      </c>
      <c r="C1821" s="114" t="s">
        <v>109</v>
      </c>
      <c r="D1821" s="92">
        <v>45376</v>
      </c>
      <c r="E1821">
        <v>2900</v>
      </c>
      <c r="F1821" s="114" t="s">
        <v>91</v>
      </c>
      <c r="G1821" s="204" t="s">
        <v>468</v>
      </c>
      <c r="H1821" s="92">
        <v>45376</v>
      </c>
    </row>
    <row r="1822" spans="1:9">
      <c r="A1822" s="207" t="s">
        <v>115</v>
      </c>
      <c r="B1822">
        <v>4193</v>
      </c>
      <c r="C1822" s="114" t="s">
        <v>471</v>
      </c>
      <c r="D1822" s="92">
        <v>45376</v>
      </c>
      <c r="E1822">
        <v>5800</v>
      </c>
      <c r="F1822" s="114" t="s">
        <v>89</v>
      </c>
      <c r="G1822" s="204" t="s">
        <v>468</v>
      </c>
      <c r="H1822" s="92">
        <v>45376</v>
      </c>
    </row>
    <row r="1823" spans="1:9">
      <c r="A1823" s="207" t="s">
        <v>115</v>
      </c>
      <c r="B1823">
        <v>4194</v>
      </c>
      <c r="C1823" s="114" t="s">
        <v>130</v>
      </c>
      <c r="D1823" s="92">
        <v>45376</v>
      </c>
      <c r="E1823">
        <v>1500</v>
      </c>
      <c r="F1823" s="114" t="s">
        <v>142</v>
      </c>
      <c r="G1823" s="204" t="s">
        <v>468</v>
      </c>
      <c r="H1823" s="92">
        <v>45376</v>
      </c>
    </row>
    <row r="1824" spans="1:9">
      <c r="A1824" s="207" t="s">
        <v>115</v>
      </c>
      <c r="B1824">
        <v>4195</v>
      </c>
      <c r="C1824" s="219" t="s">
        <v>153</v>
      </c>
      <c r="D1824" s="92">
        <v>45376</v>
      </c>
      <c r="E1824">
        <v>6600</v>
      </c>
      <c r="F1824" s="114" t="s">
        <v>168</v>
      </c>
      <c r="G1824" t="s">
        <v>469</v>
      </c>
      <c r="H1824" s="92">
        <v>45376</v>
      </c>
    </row>
    <row r="1825" spans="1:8">
      <c r="A1825" s="207" t="s">
        <v>115</v>
      </c>
      <c r="B1825">
        <v>4196</v>
      </c>
      <c r="C1825" s="220" t="s">
        <v>154</v>
      </c>
      <c r="D1825" s="92">
        <v>45376</v>
      </c>
      <c r="E1825">
        <v>8100</v>
      </c>
      <c r="F1825" s="87" t="s">
        <v>168</v>
      </c>
      <c r="G1825" t="s">
        <v>469</v>
      </c>
      <c r="H1825" s="92">
        <v>45376</v>
      </c>
    </row>
    <row r="1826" spans="1:8">
      <c r="A1826" s="207" t="s">
        <v>115</v>
      </c>
      <c r="B1826" s="61">
        <v>4197</v>
      </c>
      <c r="C1826" s="160" t="s">
        <v>152</v>
      </c>
      <c r="D1826" s="92">
        <v>45376</v>
      </c>
      <c r="E1826">
        <v>3600</v>
      </c>
      <c r="F1826" s="114" t="s">
        <v>164</v>
      </c>
      <c r="G1826" s="204" t="s">
        <v>468</v>
      </c>
      <c r="H1826" s="92">
        <v>45376</v>
      </c>
    </row>
    <row r="1827" spans="1:8">
      <c r="A1827" s="207" t="s">
        <v>115</v>
      </c>
      <c r="B1827" s="61">
        <v>4198</v>
      </c>
      <c r="C1827" t="s">
        <v>416</v>
      </c>
      <c r="D1827" s="92">
        <v>45376</v>
      </c>
      <c r="E1827">
        <v>10500</v>
      </c>
      <c r="F1827" t="s">
        <v>290</v>
      </c>
      <c r="G1827" s="204" t="s">
        <v>468</v>
      </c>
      <c r="H1827" s="92">
        <v>45376</v>
      </c>
    </row>
    <row r="1828" spans="1:8">
      <c r="A1828" s="207" t="s">
        <v>73</v>
      </c>
      <c r="B1828" s="61">
        <v>2202</v>
      </c>
      <c r="C1828" s="114" t="s">
        <v>87</v>
      </c>
      <c r="D1828" s="92">
        <v>45376</v>
      </c>
      <c r="E1828">
        <f>1100+1700</f>
        <v>2800</v>
      </c>
      <c r="F1828" s="114" t="s">
        <v>91</v>
      </c>
      <c r="G1828" s="204" t="s">
        <v>468</v>
      </c>
      <c r="H1828" s="92">
        <v>45376</v>
      </c>
    </row>
    <row r="1829" spans="1:8">
      <c r="A1829" s="207" t="s">
        <v>115</v>
      </c>
      <c r="B1829" s="61">
        <v>4199</v>
      </c>
      <c r="C1829" s="114" t="s">
        <v>129</v>
      </c>
      <c r="D1829" s="92">
        <v>45376</v>
      </c>
      <c r="E1829">
        <v>500</v>
      </c>
      <c r="F1829" s="114" t="s">
        <v>142</v>
      </c>
      <c r="G1829" s="204" t="s">
        <v>468</v>
      </c>
      <c r="H1829" s="92">
        <v>45376</v>
      </c>
    </row>
    <row r="1830" spans="1:8">
      <c r="A1830" s="207" t="s">
        <v>73</v>
      </c>
      <c r="B1830" s="61">
        <v>2203</v>
      </c>
      <c r="C1830" s="114" t="s">
        <v>292</v>
      </c>
      <c r="D1830" s="92">
        <v>45376</v>
      </c>
      <c r="E1830">
        <v>2900</v>
      </c>
      <c r="F1830" s="114" t="s">
        <v>107</v>
      </c>
      <c r="G1830" s="204" t="s">
        <v>468</v>
      </c>
      <c r="H1830" s="92">
        <v>45376</v>
      </c>
    </row>
    <row r="1831" spans="1:8">
      <c r="A1831" s="207" t="s">
        <v>115</v>
      </c>
      <c r="B1831" s="61">
        <v>4200</v>
      </c>
      <c r="C1831" s="114" t="s">
        <v>132</v>
      </c>
      <c r="D1831" s="92">
        <v>45376</v>
      </c>
      <c r="E1831">
        <v>4000</v>
      </c>
      <c r="F1831" s="114" t="s">
        <v>135</v>
      </c>
      <c r="G1831" s="204" t="s">
        <v>468</v>
      </c>
      <c r="H1831" s="92">
        <v>45376</v>
      </c>
    </row>
    <row r="1832" spans="1:8">
      <c r="A1832" s="207" t="s">
        <v>115</v>
      </c>
      <c r="B1832" s="61">
        <v>4201</v>
      </c>
      <c r="C1832" s="114" t="s">
        <v>141</v>
      </c>
      <c r="D1832" s="92">
        <v>45376</v>
      </c>
      <c r="E1832">
        <v>2100</v>
      </c>
      <c r="F1832" s="114" t="s">
        <v>142</v>
      </c>
      <c r="G1832" s="204" t="s">
        <v>468</v>
      </c>
      <c r="H1832" s="92">
        <v>45376</v>
      </c>
    </row>
    <row r="1833" spans="1:8">
      <c r="A1833" s="207" t="s">
        <v>73</v>
      </c>
      <c r="B1833" s="61">
        <v>2204</v>
      </c>
      <c r="C1833" s="114" t="s">
        <v>321</v>
      </c>
      <c r="D1833" s="92">
        <v>45376</v>
      </c>
      <c r="E1833">
        <v>2100</v>
      </c>
      <c r="F1833" s="114" t="s">
        <v>8</v>
      </c>
      <c r="G1833" s="204" t="s">
        <v>468</v>
      </c>
      <c r="H1833" s="92">
        <v>45376</v>
      </c>
    </row>
    <row r="1834" spans="1:8">
      <c r="A1834" s="207" t="s">
        <v>73</v>
      </c>
      <c r="B1834" s="61">
        <v>2205</v>
      </c>
      <c r="C1834" s="87" t="s">
        <v>207</v>
      </c>
      <c r="D1834" s="92">
        <v>45376</v>
      </c>
      <c r="E1834">
        <v>9000</v>
      </c>
      <c r="F1834" s="87" t="s">
        <v>93</v>
      </c>
      <c r="G1834" s="204" t="s">
        <v>468</v>
      </c>
      <c r="H1834" s="92">
        <v>45376</v>
      </c>
    </row>
    <row r="1835" spans="1:8">
      <c r="A1835" s="207" t="s">
        <v>73</v>
      </c>
      <c r="B1835">
        <v>2206</v>
      </c>
      <c r="C1835" s="114" t="s">
        <v>81</v>
      </c>
      <c r="D1835" s="92">
        <v>45376</v>
      </c>
      <c r="E1835">
        <v>2000</v>
      </c>
      <c r="F1835" s="114" t="s">
        <v>92</v>
      </c>
      <c r="G1835" s="204" t="s">
        <v>468</v>
      </c>
      <c r="H1835" s="92">
        <v>45376</v>
      </c>
    </row>
    <row r="1836" spans="1:8">
      <c r="A1836" s="207" t="s">
        <v>115</v>
      </c>
      <c r="B1836">
        <v>4202</v>
      </c>
      <c r="C1836" s="114" t="s">
        <v>137</v>
      </c>
      <c r="D1836" s="92">
        <v>45376</v>
      </c>
      <c r="E1836">
        <v>4500</v>
      </c>
      <c r="F1836" s="114" t="s">
        <v>376</v>
      </c>
      <c r="G1836" s="204" t="s">
        <v>468</v>
      </c>
      <c r="H1836" s="92">
        <v>45376</v>
      </c>
    </row>
    <row r="1837" spans="1:8">
      <c r="A1837" s="207" t="s">
        <v>115</v>
      </c>
      <c r="B1837">
        <v>4203</v>
      </c>
      <c r="C1837" s="114" t="s">
        <v>149</v>
      </c>
      <c r="D1837" s="92">
        <v>45376</v>
      </c>
      <c r="E1837">
        <v>1500</v>
      </c>
      <c r="F1837" s="207" t="s">
        <v>8</v>
      </c>
      <c r="G1837" s="204" t="s">
        <v>468</v>
      </c>
      <c r="H1837" s="92">
        <v>45376</v>
      </c>
    </row>
    <row r="1838" spans="1:8">
      <c r="A1838" s="207" t="s">
        <v>73</v>
      </c>
      <c r="B1838">
        <v>2207</v>
      </c>
      <c r="C1838" s="114" t="s">
        <v>99</v>
      </c>
      <c r="D1838" s="92">
        <v>45376</v>
      </c>
      <c r="E1838">
        <v>3800</v>
      </c>
      <c r="F1838" s="114" t="s">
        <v>112</v>
      </c>
      <c r="G1838" s="204" t="s">
        <v>468</v>
      </c>
      <c r="H1838" s="92">
        <v>45376</v>
      </c>
    </row>
    <row r="1839" spans="1:8">
      <c r="A1839" s="207" t="s">
        <v>73</v>
      </c>
      <c r="B1839">
        <v>2208</v>
      </c>
      <c r="C1839" s="114" t="s">
        <v>80</v>
      </c>
      <c r="D1839" s="92">
        <v>45376</v>
      </c>
      <c r="E1839">
        <v>1600</v>
      </c>
      <c r="F1839" s="114" t="s">
        <v>3</v>
      </c>
      <c r="G1839" t="s">
        <v>469</v>
      </c>
      <c r="H1839" s="92">
        <v>45376</v>
      </c>
    </row>
    <row r="1840" spans="1:8">
      <c r="A1840" s="207" t="s">
        <v>73</v>
      </c>
      <c r="B1840" s="207">
        <v>2209</v>
      </c>
      <c r="C1840" s="114" t="s">
        <v>77</v>
      </c>
      <c r="D1840" s="92">
        <v>45376</v>
      </c>
      <c r="E1840" s="207">
        <v>2500</v>
      </c>
      <c r="F1840" s="207" t="s">
        <v>91</v>
      </c>
      <c r="G1840" t="s">
        <v>469</v>
      </c>
      <c r="H1840" s="92">
        <v>45376</v>
      </c>
    </row>
    <row r="1841" spans="1:8">
      <c r="A1841" s="207" t="s">
        <v>73</v>
      </c>
      <c r="B1841" s="207">
        <v>2210</v>
      </c>
      <c r="C1841" s="114" t="s">
        <v>86</v>
      </c>
      <c r="D1841" s="92">
        <v>45376</v>
      </c>
      <c r="E1841" s="114">
        <v>4800</v>
      </c>
      <c r="F1841" s="114" t="s">
        <v>8</v>
      </c>
      <c r="G1841" t="s">
        <v>469</v>
      </c>
      <c r="H1841" s="92">
        <v>45376</v>
      </c>
    </row>
    <row r="1842" spans="1:8">
      <c r="A1842" s="207" t="s">
        <v>73</v>
      </c>
      <c r="B1842" s="61">
        <v>2211</v>
      </c>
      <c r="C1842" s="114" t="s">
        <v>96</v>
      </c>
      <c r="D1842" s="92">
        <v>45376</v>
      </c>
      <c r="E1842">
        <v>3800</v>
      </c>
      <c r="F1842" s="114" t="s">
        <v>112</v>
      </c>
      <c r="G1842" s="204" t="s">
        <v>468</v>
      </c>
      <c r="H1842" s="92">
        <v>45376</v>
      </c>
    </row>
    <row r="1843" spans="1:8">
      <c r="A1843" s="207" t="s">
        <v>73</v>
      </c>
      <c r="B1843" s="61">
        <v>2212</v>
      </c>
      <c r="C1843" s="114" t="s">
        <v>378</v>
      </c>
      <c r="D1843" s="92">
        <v>45376</v>
      </c>
      <c r="E1843">
        <v>2500</v>
      </c>
      <c r="F1843" s="114" t="s">
        <v>8</v>
      </c>
      <c r="G1843" s="204" t="s">
        <v>468</v>
      </c>
      <c r="H1843" s="92">
        <v>45376</v>
      </c>
    </row>
    <row r="1844" spans="1:8">
      <c r="A1844" s="207" t="s">
        <v>115</v>
      </c>
      <c r="B1844" s="61">
        <v>4204</v>
      </c>
      <c r="C1844" s="114" t="s">
        <v>148</v>
      </c>
      <c r="D1844" s="92">
        <v>45376</v>
      </c>
      <c r="E1844">
        <v>4300</v>
      </c>
      <c r="F1844" s="114" t="s">
        <v>166</v>
      </c>
      <c r="G1844" s="204" t="s">
        <v>468</v>
      </c>
      <c r="H1844" s="92">
        <v>45376</v>
      </c>
    </row>
    <row r="1845" spans="1:8">
      <c r="A1845" s="207" t="s">
        <v>115</v>
      </c>
      <c r="B1845" s="61">
        <v>4205</v>
      </c>
      <c r="C1845" s="114" t="s">
        <v>138</v>
      </c>
      <c r="D1845" s="92">
        <v>45376</v>
      </c>
      <c r="E1845">
        <v>2900</v>
      </c>
      <c r="F1845" s="114" t="s">
        <v>135</v>
      </c>
      <c r="G1845" s="204" t="s">
        <v>468</v>
      </c>
      <c r="H1845" s="92">
        <v>45376</v>
      </c>
    </row>
    <row r="1846" spans="1:8">
      <c r="A1846" s="207" t="s">
        <v>73</v>
      </c>
      <c r="B1846" s="61">
        <v>2213</v>
      </c>
      <c r="C1846" s="114" t="s">
        <v>79</v>
      </c>
      <c r="D1846" s="92">
        <v>45376</v>
      </c>
      <c r="E1846">
        <v>1600</v>
      </c>
      <c r="F1846" s="114" t="s">
        <v>3</v>
      </c>
      <c r="G1846" s="204" t="s">
        <v>468</v>
      </c>
      <c r="H1846" s="92">
        <v>45376</v>
      </c>
    </row>
    <row r="1847" spans="1:8">
      <c r="A1847" s="207" t="s">
        <v>73</v>
      </c>
      <c r="B1847" s="61">
        <v>2214</v>
      </c>
      <c r="C1847" s="114" t="s">
        <v>106</v>
      </c>
      <c r="D1847" s="92">
        <v>45376</v>
      </c>
      <c r="E1847">
        <v>2900</v>
      </c>
      <c r="F1847" s="114" t="s">
        <v>107</v>
      </c>
      <c r="G1847" s="204" t="s">
        <v>468</v>
      </c>
      <c r="H1847" s="92">
        <v>45376</v>
      </c>
    </row>
    <row r="1848" spans="1:8">
      <c r="A1848" s="207" t="s">
        <v>115</v>
      </c>
      <c r="B1848" s="61">
        <v>4206</v>
      </c>
      <c r="C1848" s="114" t="s">
        <v>237</v>
      </c>
      <c r="D1848" s="92">
        <v>45376</v>
      </c>
      <c r="E1848">
        <v>8500</v>
      </c>
      <c r="F1848" s="114" t="s">
        <v>238</v>
      </c>
      <c r="G1848" s="204" t="s">
        <v>468</v>
      </c>
      <c r="H1848" s="92">
        <v>45376</v>
      </c>
    </row>
    <row r="1849" spans="1:8">
      <c r="A1849" s="207" t="s">
        <v>115</v>
      </c>
      <c r="B1849" s="61">
        <v>4207</v>
      </c>
      <c r="C1849" s="114" t="s">
        <v>146</v>
      </c>
      <c r="D1849" s="92">
        <v>45376</v>
      </c>
      <c r="E1849">
        <v>2000</v>
      </c>
      <c r="F1849" s="114" t="s">
        <v>8</v>
      </c>
      <c r="G1849" s="204" t="s">
        <v>468</v>
      </c>
      <c r="H1849" s="92">
        <v>45376</v>
      </c>
    </row>
    <row r="1850" spans="1:8">
      <c r="A1850" s="207" t="s">
        <v>115</v>
      </c>
      <c r="B1850" s="61">
        <v>4208</v>
      </c>
      <c r="C1850" s="114" t="s">
        <v>315</v>
      </c>
      <c r="D1850" s="92">
        <v>45376</v>
      </c>
      <c r="E1850">
        <v>3100</v>
      </c>
      <c r="F1850" s="114" t="s">
        <v>157</v>
      </c>
      <c r="G1850" s="204" t="s">
        <v>468</v>
      </c>
      <c r="H1850" s="92">
        <v>45376</v>
      </c>
    </row>
    <row r="1851" spans="1:8">
      <c r="A1851" s="207" t="s">
        <v>73</v>
      </c>
      <c r="B1851" s="61">
        <v>2215</v>
      </c>
      <c r="C1851" s="114" t="s">
        <v>101</v>
      </c>
      <c r="D1851" s="92">
        <v>45376</v>
      </c>
      <c r="E1851">
        <f>1700*3</f>
        <v>5100</v>
      </c>
      <c r="F1851" s="114" t="s">
        <v>8</v>
      </c>
      <c r="G1851" t="s">
        <v>469</v>
      </c>
      <c r="H1851" s="92">
        <v>45376</v>
      </c>
    </row>
    <row r="1852" spans="1:8">
      <c r="A1852" s="207" t="s">
        <v>115</v>
      </c>
      <c r="B1852" s="61">
        <v>4209</v>
      </c>
      <c r="C1852" s="114" t="s">
        <v>344</v>
      </c>
      <c r="D1852" s="92">
        <v>45376</v>
      </c>
      <c r="E1852">
        <v>3500</v>
      </c>
      <c r="F1852" s="114" t="s">
        <v>8</v>
      </c>
      <c r="G1852" s="204" t="s">
        <v>468</v>
      </c>
      <c r="H1852" s="92">
        <v>45376</v>
      </c>
    </row>
    <row r="1853" spans="1:8">
      <c r="A1853" s="207" t="s">
        <v>73</v>
      </c>
      <c r="B1853" s="61">
        <v>2216</v>
      </c>
      <c r="C1853" s="114" t="s">
        <v>110</v>
      </c>
      <c r="D1853" s="92">
        <v>45376</v>
      </c>
      <c r="E1853">
        <v>2900</v>
      </c>
      <c r="F1853" s="114" t="s">
        <v>107</v>
      </c>
      <c r="G1853" s="204" t="s">
        <v>468</v>
      </c>
      <c r="H1853" s="92">
        <v>45376</v>
      </c>
    </row>
    <row r="1854" spans="1:8">
      <c r="A1854" s="207" t="s">
        <v>115</v>
      </c>
      <c r="B1854" s="61">
        <v>4210</v>
      </c>
      <c r="C1854" s="114" t="s">
        <v>289</v>
      </c>
      <c r="D1854" s="92">
        <v>45376</v>
      </c>
      <c r="E1854">
        <v>2300</v>
      </c>
      <c r="F1854" s="114" t="s">
        <v>290</v>
      </c>
      <c r="G1854" s="204" t="s">
        <v>468</v>
      </c>
      <c r="H1854" s="92">
        <v>45376</v>
      </c>
    </row>
    <row r="1855" spans="1:8">
      <c r="A1855" s="207" t="s">
        <v>73</v>
      </c>
      <c r="B1855" s="61">
        <v>2217</v>
      </c>
      <c r="C1855" t="s">
        <v>356</v>
      </c>
      <c r="D1855" s="92">
        <v>45376</v>
      </c>
      <c r="E1855">
        <v>6000</v>
      </c>
      <c r="F1855" t="s">
        <v>357</v>
      </c>
      <c r="G1855" s="204" t="s">
        <v>468</v>
      </c>
      <c r="H1855" s="92">
        <v>45376</v>
      </c>
    </row>
    <row r="1856" spans="1:8">
      <c r="A1856" s="207" t="s">
        <v>115</v>
      </c>
      <c r="B1856" s="61">
        <v>4211</v>
      </c>
      <c r="C1856" s="114" t="s">
        <v>127</v>
      </c>
      <c r="D1856" s="92">
        <v>45376</v>
      </c>
      <c r="E1856">
        <v>5800</v>
      </c>
      <c r="F1856" s="114" t="s">
        <v>157</v>
      </c>
      <c r="G1856" s="204" t="s">
        <v>468</v>
      </c>
      <c r="H1856" s="92">
        <v>45376</v>
      </c>
    </row>
    <row r="1857" spans="1:8">
      <c r="A1857" s="114" t="s">
        <v>115</v>
      </c>
      <c r="B1857" s="61">
        <v>4212</v>
      </c>
      <c r="C1857" s="114" t="s">
        <v>140</v>
      </c>
      <c r="D1857" s="92">
        <v>45380</v>
      </c>
      <c r="E1857" s="201">
        <v>69600</v>
      </c>
      <c r="F1857" s="114" t="s">
        <v>25</v>
      </c>
      <c r="G1857" t="s">
        <v>469</v>
      </c>
      <c r="H1857" s="92">
        <v>45380</v>
      </c>
    </row>
    <row r="1858" spans="1:8">
      <c r="A1858" s="114" t="s">
        <v>73</v>
      </c>
      <c r="B1858" s="61">
        <v>2218</v>
      </c>
      <c r="C1858" s="114" t="s">
        <v>140</v>
      </c>
      <c r="D1858" s="92">
        <v>45380</v>
      </c>
      <c r="E1858" s="201">
        <v>43500</v>
      </c>
      <c r="F1858" s="114" t="s">
        <v>25</v>
      </c>
      <c r="G1858" t="s">
        <v>469</v>
      </c>
      <c r="H1858" s="92">
        <v>45380</v>
      </c>
    </row>
    <row r="1048576" spans="6:6">
      <c r="F1048576" s="114"/>
    </row>
  </sheetData>
  <autoFilter ref="A1:J1858" xr:uid="{00000000-0009-0000-0000-000004000000}"/>
  <conditionalFormatting sqref="B1730:B1731 B1683 B1:B1275 B1281 B1318:B1330 B1333:B1398 B1435:B1438 B1519 B1475:B1517 B1521 B1559:B1607 B1645:B1646 B1768:B1769 B1812:B1856 B1859:B1048576">
    <cfRule type="duplicateValues" dxfId="120" priority="154"/>
  </conditionalFormatting>
  <conditionalFormatting sqref="B1276:B1280">
    <cfRule type="duplicateValues" dxfId="119" priority="152"/>
  </conditionalFormatting>
  <conditionalFormatting sqref="B1282:B1319">
    <cfRule type="duplicateValues" dxfId="118" priority="151"/>
  </conditionalFormatting>
  <conditionalFormatting sqref="B1730:B1731 B1683 B1:B1330 B1333:B1398 B1435:B1438 B1519 B1475:B1517 B1521 B1559:B1607 B1645:B1646 B1768:B1769 B1812:B1856 B1859:B1048576">
    <cfRule type="duplicateValues" dxfId="117" priority="150"/>
  </conditionalFormatting>
  <conditionalFormatting sqref="B1331:B1332">
    <cfRule type="duplicateValues" dxfId="116" priority="149"/>
  </conditionalFormatting>
  <conditionalFormatting sqref="B1331:B1332">
    <cfRule type="duplicateValues" dxfId="115" priority="148"/>
  </conditionalFormatting>
  <conditionalFormatting sqref="B1730:B1731 B1683 B1:B1398 B1435:B1438 B1519 B1475:B1517 B1521 B1559:B1607 B1645:B1646 B1768:B1769 B1812:B1856 B1859:B1048576">
    <cfRule type="duplicateValues" dxfId="114" priority="147"/>
  </conditionalFormatting>
  <conditionalFormatting sqref="B1730:B1731 B1683 B1:B1438 B1519 B1475:B1517 B1521 B1559:B1607 B1645:B1646 B1768:B1769 B1812:B1856 B1859:B1048576">
    <cfRule type="duplicateValues" dxfId="113" priority="140"/>
  </conditionalFormatting>
  <conditionalFormatting sqref="B1474">
    <cfRule type="duplicateValues" dxfId="112" priority="166"/>
  </conditionalFormatting>
  <conditionalFormatting sqref="B1730:B1731 B1683 B1519 B1:B1517 B1521 B1559:B1607 B1645:B1646 B1768:B1769 B1812:B1856 B1859:B1048576">
    <cfRule type="duplicateValues" dxfId="111" priority="132"/>
  </conditionalFormatting>
  <conditionalFormatting sqref="B1439:B1474">
    <cfRule type="duplicateValues" dxfId="110" priority="181"/>
  </conditionalFormatting>
  <conditionalFormatting sqref="B1518">
    <cfRule type="duplicateValues" dxfId="109" priority="131"/>
  </conditionalFormatting>
  <conditionalFormatting sqref="B1518">
    <cfRule type="duplicateValues" dxfId="108" priority="130"/>
  </conditionalFormatting>
  <conditionalFormatting sqref="B1518">
    <cfRule type="duplicateValues" dxfId="107" priority="129"/>
  </conditionalFormatting>
  <conditionalFormatting sqref="B1518">
    <cfRule type="duplicateValues" dxfId="106" priority="128"/>
  </conditionalFormatting>
  <conditionalFormatting sqref="B1518">
    <cfRule type="duplicateValues" dxfId="105" priority="127"/>
  </conditionalFormatting>
  <conditionalFormatting sqref="B1520">
    <cfRule type="duplicateValues" dxfId="104" priority="126"/>
  </conditionalFormatting>
  <conditionalFormatting sqref="B1520">
    <cfRule type="duplicateValues" dxfId="103" priority="125"/>
  </conditionalFormatting>
  <conditionalFormatting sqref="B1520">
    <cfRule type="duplicateValues" dxfId="102" priority="124"/>
  </conditionalFormatting>
  <conditionalFormatting sqref="B1520">
    <cfRule type="duplicateValues" dxfId="101" priority="123"/>
  </conditionalFormatting>
  <conditionalFormatting sqref="B1520">
    <cfRule type="duplicateValues" dxfId="100" priority="122"/>
  </conditionalFormatting>
  <conditionalFormatting sqref="B1730:B1731 B1683 B1:B1521 B1559:B1607 B1645:B1646 B1768:B1769 B1812:B1856 B1859:B1048576">
    <cfRule type="duplicateValues" dxfId="99" priority="121"/>
  </conditionalFormatting>
  <conditionalFormatting sqref="B1730:B1731 B1683 B1:B1557 B1559:B1607 B1645:B1646 B1768:B1769 B1812:B1856 B1859:B1048576">
    <cfRule type="duplicateValues" dxfId="98" priority="114"/>
  </conditionalFormatting>
  <conditionalFormatting sqref="B1558">
    <cfRule type="duplicateValues" dxfId="97" priority="113"/>
  </conditionalFormatting>
  <conditionalFormatting sqref="B1558">
    <cfRule type="duplicateValues" dxfId="96" priority="112"/>
  </conditionalFormatting>
  <conditionalFormatting sqref="B1558">
    <cfRule type="duplicateValues" dxfId="95" priority="111"/>
  </conditionalFormatting>
  <conditionalFormatting sqref="B1558">
    <cfRule type="duplicateValues" dxfId="94" priority="110"/>
  </conditionalFormatting>
  <conditionalFormatting sqref="B1558">
    <cfRule type="duplicateValues" dxfId="93" priority="109"/>
  </conditionalFormatting>
  <conditionalFormatting sqref="B1558">
    <cfRule type="duplicateValues" dxfId="92" priority="108"/>
  </conditionalFormatting>
  <conditionalFormatting sqref="B1558">
    <cfRule type="duplicateValues" dxfId="91" priority="107"/>
  </conditionalFormatting>
  <conditionalFormatting sqref="C1560:C1604 C1607">
    <cfRule type="duplicateValues" dxfId="90" priority="231"/>
  </conditionalFormatting>
  <conditionalFormatting sqref="B1730:B1731 B1683 B1:B1607 B1645:B1646 B1768:B1769 B1812:B1856 B1859:B1048576">
    <cfRule type="duplicateValues" dxfId="89" priority="105"/>
  </conditionalFormatting>
  <conditionalFormatting sqref="C1606">
    <cfRule type="duplicateValues" dxfId="88" priority="104"/>
  </conditionalFormatting>
  <conditionalFormatting sqref="B1522:B1557">
    <cfRule type="duplicateValues" dxfId="87" priority="259"/>
  </conditionalFormatting>
  <conditionalFormatting sqref="B1439:B1473">
    <cfRule type="duplicateValues" dxfId="86" priority="289"/>
  </conditionalFormatting>
  <conditionalFormatting sqref="B1399:B1434">
    <cfRule type="duplicateValues" dxfId="85" priority="309"/>
  </conditionalFormatting>
  <conditionalFormatting sqref="B1608:B1644">
    <cfRule type="duplicateValues" dxfId="84" priority="102"/>
  </conditionalFormatting>
  <conditionalFormatting sqref="B1608:B1644">
    <cfRule type="duplicateValues" dxfId="83" priority="101"/>
  </conditionalFormatting>
  <conditionalFormatting sqref="B1608:B1644">
    <cfRule type="duplicateValues" dxfId="82" priority="100"/>
  </conditionalFormatting>
  <conditionalFormatting sqref="B1608:B1644">
    <cfRule type="duplicateValues" dxfId="81" priority="99"/>
  </conditionalFormatting>
  <conditionalFormatting sqref="B1608:B1644">
    <cfRule type="duplicateValues" dxfId="80" priority="98"/>
  </conditionalFormatting>
  <conditionalFormatting sqref="B1608:B1644">
    <cfRule type="duplicateValues" dxfId="79" priority="97"/>
  </conditionalFormatting>
  <conditionalFormatting sqref="B1608:B1644">
    <cfRule type="duplicateValues" dxfId="78" priority="96"/>
  </conditionalFormatting>
  <conditionalFormatting sqref="C1608:C1644 C1646">
    <cfRule type="duplicateValues" dxfId="77" priority="103"/>
  </conditionalFormatting>
  <conditionalFormatting sqref="B1608:B1644">
    <cfRule type="duplicateValues" dxfId="76" priority="95"/>
  </conditionalFormatting>
  <conditionalFormatting sqref="B1730:B1731 B1683 B1:B1646 B1768:B1769 B1812:B1856 B1859:B1048576">
    <cfRule type="duplicateValues" dxfId="75" priority="94"/>
  </conditionalFormatting>
  <conditionalFormatting sqref="C1645">
    <cfRule type="duplicateValues" dxfId="74" priority="93"/>
  </conditionalFormatting>
  <conditionalFormatting sqref="B1730:B1731 B1:B1683 B1768:B1769 B1812:B1856 B1859:B1048576">
    <cfRule type="duplicateValues" dxfId="73" priority="82"/>
  </conditionalFormatting>
  <conditionalFormatting sqref="B1647:B1682">
    <cfRule type="duplicateValues" dxfId="72" priority="355"/>
  </conditionalFormatting>
  <conditionalFormatting sqref="C1647:C1682">
    <cfRule type="duplicateValues" dxfId="71" priority="362"/>
  </conditionalFormatting>
  <conditionalFormatting sqref="C1683">
    <cfRule type="duplicateValues" dxfId="70" priority="81"/>
  </conditionalFormatting>
  <conditionalFormatting sqref="C1729">
    <cfRule type="duplicateValues" dxfId="69" priority="71"/>
  </conditionalFormatting>
  <conditionalFormatting sqref="C1684:C1728">
    <cfRule type="duplicateValues" dxfId="68" priority="425"/>
  </conditionalFormatting>
  <conditionalFormatting sqref="B1684:B1729">
    <cfRule type="duplicateValues" dxfId="67" priority="481"/>
  </conditionalFormatting>
  <conditionalFormatting sqref="C1732:C1767">
    <cfRule type="duplicateValues" dxfId="66" priority="67"/>
  </conditionalFormatting>
  <conditionalFormatting sqref="B1732:B1767">
    <cfRule type="duplicateValues" dxfId="65" priority="68"/>
  </conditionalFormatting>
  <conditionalFormatting sqref="C1770:C1805">
    <cfRule type="duplicateValues" dxfId="64" priority="65"/>
  </conditionalFormatting>
  <conditionalFormatting sqref="B1770:B1805">
    <cfRule type="duplicateValues" dxfId="63" priority="66"/>
  </conditionalFormatting>
  <conditionalFormatting sqref="B1:B1805 B1812:B1856 B1859:B1048576">
    <cfRule type="duplicateValues" dxfId="62" priority="64"/>
  </conditionalFormatting>
  <conditionalFormatting sqref="B1806:B1810">
    <cfRule type="duplicateValues" dxfId="61" priority="63"/>
  </conditionalFormatting>
  <conditionalFormatting sqref="B1806:B1811">
    <cfRule type="duplicateValues" dxfId="60" priority="62"/>
  </conditionalFormatting>
  <conditionalFormatting sqref="B1806:B1811">
    <cfRule type="duplicateValues" dxfId="59" priority="61"/>
  </conditionalFormatting>
  <conditionalFormatting sqref="B1806:B1811">
    <cfRule type="duplicateValues" dxfId="58" priority="60"/>
  </conditionalFormatting>
  <conditionalFormatting sqref="B1806:B1811">
    <cfRule type="duplicateValues" dxfId="57" priority="59"/>
  </conditionalFormatting>
  <conditionalFormatting sqref="B1806:B1811">
    <cfRule type="duplicateValues" dxfId="56" priority="58"/>
  </conditionalFormatting>
  <conditionalFormatting sqref="B1806:B1811">
    <cfRule type="duplicateValues" dxfId="55" priority="57"/>
  </conditionalFormatting>
  <conditionalFormatting sqref="B1806:B1811">
    <cfRule type="duplicateValues" dxfId="54" priority="56"/>
  </conditionalFormatting>
  <conditionalFormatting sqref="B1806:B1811">
    <cfRule type="duplicateValues" dxfId="53" priority="55"/>
  </conditionalFormatting>
  <conditionalFormatting sqref="B1806:B1811">
    <cfRule type="duplicateValues" dxfId="52" priority="54"/>
  </conditionalFormatting>
  <conditionalFormatting sqref="B1806:B1811">
    <cfRule type="duplicateValues" dxfId="51" priority="53"/>
  </conditionalFormatting>
  <conditionalFormatting sqref="B1811">
    <cfRule type="duplicateValues" dxfId="50" priority="52"/>
  </conditionalFormatting>
  <conditionalFormatting sqref="B1:B1856 B1859:B1048576">
    <cfRule type="duplicateValues" dxfId="49" priority="51"/>
  </conditionalFormatting>
  <conditionalFormatting sqref="C1813">
    <cfRule type="duplicateValues" dxfId="48" priority="50"/>
  </conditionalFormatting>
  <conditionalFormatting sqref="C1814">
    <cfRule type="duplicateValues" dxfId="47" priority="49"/>
  </conditionalFormatting>
  <conditionalFormatting sqref="C1815">
    <cfRule type="duplicateValues" dxfId="46" priority="48"/>
  </conditionalFormatting>
  <conditionalFormatting sqref="C1817">
    <cfRule type="duplicateValues" dxfId="45" priority="47"/>
  </conditionalFormatting>
  <conditionalFormatting sqref="C1818">
    <cfRule type="duplicateValues" dxfId="44" priority="46"/>
  </conditionalFormatting>
  <conditionalFormatting sqref="C1819">
    <cfRule type="duplicateValues" dxfId="43" priority="45"/>
  </conditionalFormatting>
  <conditionalFormatting sqref="C1820">
    <cfRule type="duplicateValues" dxfId="42" priority="44"/>
  </conditionalFormatting>
  <conditionalFormatting sqref="C1821">
    <cfRule type="duplicateValues" dxfId="41" priority="43"/>
  </conditionalFormatting>
  <conditionalFormatting sqref="C1822">
    <cfRule type="duplicateValues" dxfId="40" priority="42"/>
  </conditionalFormatting>
  <conditionalFormatting sqref="C1823">
    <cfRule type="duplicateValues" dxfId="39" priority="41"/>
  </conditionalFormatting>
  <conditionalFormatting sqref="C1824">
    <cfRule type="duplicateValues" dxfId="38" priority="40"/>
  </conditionalFormatting>
  <conditionalFormatting sqref="C1825">
    <cfRule type="duplicateValues" dxfId="37" priority="39"/>
  </conditionalFormatting>
  <conditionalFormatting sqref="C1826">
    <cfRule type="duplicateValues" dxfId="36" priority="38"/>
  </conditionalFormatting>
  <conditionalFormatting sqref="C1827">
    <cfRule type="duplicateValues" dxfId="35" priority="37"/>
  </conditionalFormatting>
  <conditionalFormatting sqref="C1828">
    <cfRule type="duplicateValues" dxfId="34" priority="36"/>
  </conditionalFormatting>
  <conditionalFormatting sqref="C1829">
    <cfRule type="duplicateValues" dxfId="33" priority="35"/>
  </conditionalFormatting>
  <conditionalFormatting sqref="C1830">
    <cfRule type="duplicateValues" dxfId="32" priority="33"/>
  </conditionalFormatting>
  <conditionalFormatting sqref="C1831">
    <cfRule type="duplicateValues" dxfId="31" priority="32"/>
  </conditionalFormatting>
  <conditionalFormatting sqref="C1832">
    <cfRule type="duplicateValues" dxfId="30" priority="31"/>
  </conditionalFormatting>
  <conditionalFormatting sqref="C1833">
    <cfRule type="duplicateValues" dxfId="29" priority="30"/>
  </conditionalFormatting>
  <conditionalFormatting sqref="C1834">
    <cfRule type="duplicateValues" dxfId="28" priority="29"/>
  </conditionalFormatting>
  <conditionalFormatting sqref="C1835">
    <cfRule type="duplicateValues" dxfId="27" priority="28"/>
  </conditionalFormatting>
  <conditionalFormatting sqref="C1836">
    <cfRule type="duplicateValues" dxfId="26" priority="27"/>
  </conditionalFormatting>
  <conditionalFormatting sqref="C1837">
    <cfRule type="duplicateValues" dxfId="25" priority="26"/>
  </conditionalFormatting>
  <conditionalFormatting sqref="C1838">
    <cfRule type="duplicateValues" dxfId="24" priority="25"/>
  </conditionalFormatting>
  <conditionalFormatting sqref="C1839">
    <cfRule type="duplicateValues" dxfId="23" priority="24"/>
  </conditionalFormatting>
  <conditionalFormatting sqref="C1840">
    <cfRule type="duplicateValues" dxfId="22" priority="23"/>
  </conditionalFormatting>
  <conditionalFormatting sqref="C1841">
    <cfRule type="duplicateValues" dxfId="21" priority="22"/>
  </conditionalFormatting>
  <conditionalFormatting sqref="C1842">
    <cfRule type="duplicateValues" dxfId="20" priority="21"/>
  </conditionalFormatting>
  <conditionalFormatting sqref="C1843">
    <cfRule type="duplicateValues" dxfId="19" priority="20"/>
  </conditionalFormatting>
  <conditionalFormatting sqref="C1844">
    <cfRule type="duplicateValues" dxfId="18" priority="19"/>
  </conditionalFormatting>
  <conditionalFormatting sqref="C1845">
    <cfRule type="duplicateValues" dxfId="17" priority="18"/>
  </conditionalFormatting>
  <conditionalFormatting sqref="C1846">
    <cfRule type="duplicateValues" dxfId="16" priority="17"/>
  </conditionalFormatting>
  <conditionalFormatting sqref="C1847">
    <cfRule type="duplicateValues" dxfId="15" priority="16"/>
  </conditionalFormatting>
  <conditionalFormatting sqref="C1848">
    <cfRule type="duplicateValues" dxfId="14" priority="15"/>
  </conditionalFormatting>
  <conditionalFormatting sqref="C1849">
    <cfRule type="duplicateValues" dxfId="13" priority="14"/>
  </conditionalFormatting>
  <conditionalFormatting sqref="C1850">
    <cfRule type="duplicateValues" dxfId="12" priority="13"/>
  </conditionalFormatting>
  <conditionalFormatting sqref="C1851">
    <cfRule type="duplicateValues" dxfId="11" priority="12"/>
  </conditionalFormatting>
  <conditionalFormatting sqref="C1852">
    <cfRule type="duplicateValues" dxfId="10" priority="11"/>
  </conditionalFormatting>
  <conditionalFormatting sqref="C1853">
    <cfRule type="duplicateValues" dxfId="9" priority="10"/>
  </conditionalFormatting>
  <conditionalFormatting sqref="C1854">
    <cfRule type="duplicateValues" dxfId="8" priority="9"/>
  </conditionalFormatting>
  <conditionalFormatting sqref="C1855">
    <cfRule type="duplicateValues" dxfId="7" priority="8"/>
  </conditionalFormatting>
  <conditionalFormatting sqref="C1856">
    <cfRule type="duplicateValues" dxfId="6" priority="7"/>
  </conditionalFormatting>
  <conditionalFormatting sqref="C1857">
    <cfRule type="duplicateValues" dxfId="5" priority="5"/>
  </conditionalFormatting>
  <conditionalFormatting sqref="B1857:B1858">
    <cfRule type="duplicateValues" dxfId="4" priority="6"/>
  </conditionalFormatting>
  <conditionalFormatting sqref="B1857:B1858">
    <cfRule type="duplicateValues" dxfId="3" priority="4"/>
  </conditionalFormatting>
  <conditionalFormatting sqref="B1857:B1858">
    <cfRule type="duplicateValues" dxfId="2" priority="3"/>
  </conditionalFormatting>
  <conditionalFormatting sqref="C1858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CD80"/>
  <sheetViews>
    <sheetView topLeftCell="A48" zoomScaleNormal="100" workbookViewId="0">
      <selection activeCell="BY83" sqref="BY83"/>
    </sheetView>
  </sheetViews>
  <sheetFormatPr defaultColWidth="10.3984375" defaultRowHeight="13.8"/>
  <cols>
    <col min="1" max="1" width="70.8984375" customWidth="1"/>
    <col min="2" max="2" width="19.59765625" hidden="1" customWidth="1"/>
    <col min="3" max="3" width="14.09765625" hidden="1" customWidth="1"/>
    <col min="4" max="4" width="19.296875" hidden="1" customWidth="1"/>
    <col min="5" max="5" width="18.59765625" hidden="1" customWidth="1"/>
    <col min="6" max="6" width="19.296875" hidden="1" customWidth="1"/>
    <col min="7" max="7" width="14.796875" hidden="1" customWidth="1"/>
    <col min="8" max="8" width="19.3984375" hidden="1" customWidth="1"/>
    <col min="9" max="9" width="21.19921875" hidden="1" customWidth="1"/>
    <col min="10" max="10" width="9.296875" hidden="1" customWidth="1"/>
    <col min="11" max="11" width="20.09765625" hidden="1" customWidth="1"/>
    <col min="12" max="12" width="21.19921875" hidden="1" customWidth="1"/>
    <col min="13" max="13" width="24.8984375" hidden="1" customWidth="1"/>
    <col min="14" max="14" width="9.296875" hidden="1" customWidth="1"/>
    <col min="15" max="15" width="20.09765625" hidden="1" customWidth="1"/>
    <col min="16" max="17" width="11.296875" hidden="1" customWidth="1"/>
    <col min="18" max="18" width="18.8984375" hidden="1" customWidth="1"/>
    <col min="19" max="20" width="13.8984375" hidden="1" customWidth="1"/>
    <col min="21" max="21" width="22.59765625" hidden="1" customWidth="1"/>
    <col min="22" max="22" width="17" hidden="1" customWidth="1"/>
    <col min="23" max="23" width="15.3984375" hidden="1" customWidth="1"/>
    <col min="24" max="24" width="32.69921875" hidden="1" customWidth="1"/>
    <col min="25" max="25" width="20.69921875" hidden="1" customWidth="1"/>
    <col min="26" max="27" width="12.8984375" hidden="1" customWidth="1"/>
    <col min="28" max="28" width="18.59765625" hidden="1" customWidth="1"/>
    <col min="29" max="29" width="20.5" hidden="1" customWidth="1"/>
    <col min="30" max="30" width="14.09765625" hidden="1" customWidth="1"/>
    <col min="31" max="31" width="14.19921875" hidden="1" customWidth="1"/>
    <col min="32" max="32" width="19.796875" hidden="1" customWidth="1"/>
    <col min="33" max="33" width="12.09765625" hidden="1" customWidth="1"/>
    <col min="34" max="34" width="23.8984375" hidden="1" customWidth="1"/>
    <col min="35" max="35" width="12.09765625" hidden="1" customWidth="1"/>
    <col min="36" max="36" width="24.3984375" hidden="1" customWidth="1"/>
    <col min="37" max="37" width="23.8984375" hidden="1" customWidth="1"/>
    <col min="38" max="38" width="18.09765625" hidden="1" customWidth="1"/>
    <col min="39" max="39" width="14.09765625" hidden="1" customWidth="1"/>
    <col min="40" max="41" width="8.8984375" hidden="1" customWidth="1"/>
    <col min="42" max="42" width="24.5" hidden="1" customWidth="1"/>
    <col min="43" max="43" width="8.8984375" hidden="1" customWidth="1"/>
    <col min="44" max="44" width="14.5" hidden="1" customWidth="1"/>
    <col min="45" max="45" width="14.8984375" hidden="1" customWidth="1"/>
    <col min="46" max="48" width="9.59765625" hidden="1" customWidth="1"/>
    <col min="49" max="49" width="10.69921875" hidden="1" customWidth="1"/>
    <col min="50" max="50" width="26.296875" hidden="1" customWidth="1"/>
    <col min="51" max="52" width="10.69921875" hidden="1" customWidth="1"/>
    <col min="53" max="54" width="9.09765625" hidden="1" customWidth="1"/>
    <col min="55" max="56" width="13.8984375" hidden="1" customWidth="1"/>
    <col min="57" max="57" width="18.5" hidden="1" customWidth="1"/>
    <col min="58" max="58" width="18.59765625" hidden="1" customWidth="1"/>
    <col min="59" max="59" width="18.5" hidden="1" customWidth="1"/>
    <col min="60" max="60" width="20.3984375" hidden="1" customWidth="1"/>
    <col min="61" max="61" width="12.09765625" hidden="1" customWidth="1"/>
    <col min="62" max="62" width="27.19921875" hidden="1" customWidth="1"/>
    <col min="63" max="63" width="12.09765625" hidden="1" customWidth="1"/>
    <col min="64" max="64" width="26.8984375" hidden="1" customWidth="1"/>
    <col min="65" max="65" width="27.19921875" hidden="1" customWidth="1"/>
    <col min="66" max="66" width="24.3984375" hidden="1" customWidth="1"/>
    <col min="67" max="67" width="20.796875" hidden="1" customWidth="1"/>
    <col min="68" max="69" width="14.3984375" hidden="1" customWidth="1"/>
    <col min="70" max="70" width="29.5" hidden="1" customWidth="1"/>
    <col min="71" max="71" width="2.5" hidden="1" customWidth="1"/>
    <col min="72" max="72" width="7.296875" hidden="1" customWidth="1"/>
    <col min="73" max="73" width="25.296875" hidden="1" customWidth="1"/>
    <col min="74" max="74" width="11.296875" hidden="1" customWidth="1"/>
    <col min="75" max="75" width="26.59765625" customWidth="1"/>
    <col min="76" max="76" width="24.5" customWidth="1"/>
    <col min="77" max="77" width="12.09765625" customWidth="1"/>
    <col min="78" max="78" width="14.3984375" customWidth="1"/>
    <col min="79" max="79" width="11.3984375" customWidth="1"/>
  </cols>
  <sheetData>
    <row r="1" spans="1:82">
      <c r="A1" s="163" t="s">
        <v>379</v>
      </c>
      <c r="B1" s="164" t="s">
        <v>70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6"/>
    </row>
    <row r="2" spans="1:82">
      <c r="A2" s="167" t="s">
        <v>66</v>
      </c>
      <c r="B2" s="168" t="s">
        <v>347</v>
      </c>
      <c r="C2" s="169" t="s">
        <v>83</v>
      </c>
      <c r="D2" s="169" t="s">
        <v>197</v>
      </c>
      <c r="E2" s="169" t="s">
        <v>97</v>
      </c>
      <c r="F2" s="169" t="s">
        <v>294</v>
      </c>
      <c r="G2" s="169" t="s">
        <v>84</v>
      </c>
      <c r="H2" s="169" t="s">
        <v>221</v>
      </c>
      <c r="I2" s="169" t="s">
        <v>232</v>
      </c>
      <c r="J2" s="169" t="s">
        <v>263</v>
      </c>
      <c r="K2" s="169" t="s">
        <v>266</v>
      </c>
      <c r="L2" s="169" t="s">
        <v>331</v>
      </c>
      <c r="M2" s="169" t="s">
        <v>300</v>
      </c>
      <c r="N2" s="169" t="s">
        <v>341</v>
      </c>
      <c r="O2" s="169" t="s">
        <v>351</v>
      </c>
      <c r="P2" s="169" t="s">
        <v>95</v>
      </c>
      <c r="Q2" s="169" t="s">
        <v>295</v>
      </c>
      <c r="R2" s="169" t="s">
        <v>239</v>
      </c>
      <c r="S2" s="169" t="s">
        <v>199</v>
      </c>
      <c r="T2" s="169" t="s">
        <v>318</v>
      </c>
      <c r="U2" s="169" t="s">
        <v>271</v>
      </c>
      <c r="V2" s="169" t="s">
        <v>336</v>
      </c>
      <c r="W2" s="169" t="s">
        <v>218</v>
      </c>
      <c r="X2" s="169" t="s">
        <v>284</v>
      </c>
      <c r="Y2" s="169" t="s">
        <v>248</v>
      </c>
      <c r="Z2" s="169" t="s">
        <v>226</v>
      </c>
      <c r="AA2" s="169" t="s">
        <v>329</v>
      </c>
      <c r="AB2" s="169" t="s">
        <v>244</v>
      </c>
      <c r="AC2" s="169" t="s">
        <v>249</v>
      </c>
      <c r="AD2" s="169" t="s">
        <v>78</v>
      </c>
      <c r="AE2" s="169" t="s">
        <v>176</v>
      </c>
      <c r="AF2" s="169" t="s">
        <v>104</v>
      </c>
      <c r="AG2" s="169" t="s">
        <v>209</v>
      </c>
      <c r="AH2" s="169" t="s">
        <v>228</v>
      </c>
      <c r="AI2" s="169" t="s">
        <v>327</v>
      </c>
      <c r="AJ2" s="169" t="s">
        <v>334</v>
      </c>
      <c r="AK2" s="169" t="s">
        <v>332</v>
      </c>
      <c r="AL2" s="169" t="s">
        <v>198</v>
      </c>
      <c r="AM2" s="169" t="s">
        <v>172</v>
      </c>
      <c r="AN2" s="169" t="s">
        <v>90</v>
      </c>
      <c r="AO2" s="169" t="s">
        <v>285</v>
      </c>
      <c r="AP2" s="169" t="s">
        <v>299</v>
      </c>
      <c r="AQ2" s="169" t="s">
        <v>359</v>
      </c>
      <c r="AR2" s="169" t="s">
        <v>105</v>
      </c>
      <c r="AS2" s="169" t="s">
        <v>94</v>
      </c>
      <c r="AT2" s="169" t="s">
        <v>85</v>
      </c>
      <c r="AU2" s="169" t="s">
        <v>276</v>
      </c>
      <c r="AV2" s="169" t="s">
        <v>348</v>
      </c>
      <c r="AW2" s="169" t="s">
        <v>75</v>
      </c>
      <c r="AX2" s="169" t="s">
        <v>108</v>
      </c>
      <c r="AY2" s="169" t="s">
        <v>241</v>
      </c>
      <c r="AZ2" s="169" t="s">
        <v>333</v>
      </c>
      <c r="BA2" s="169" t="s">
        <v>272</v>
      </c>
      <c r="BB2" s="169" t="s">
        <v>345</v>
      </c>
      <c r="BC2" s="169" t="s">
        <v>113</v>
      </c>
      <c r="BD2" s="169" t="s">
        <v>313</v>
      </c>
      <c r="BE2" s="169" t="s">
        <v>117</v>
      </c>
      <c r="BF2" s="169" t="s">
        <v>192</v>
      </c>
      <c r="BG2" s="169" t="s">
        <v>243</v>
      </c>
      <c r="BH2" s="169" t="s">
        <v>236</v>
      </c>
      <c r="BI2" s="169" t="s">
        <v>111</v>
      </c>
      <c r="BJ2" s="169" t="s">
        <v>191</v>
      </c>
      <c r="BK2" s="169" t="s">
        <v>306</v>
      </c>
      <c r="BL2" s="169" t="s">
        <v>316</v>
      </c>
      <c r="BM2" s="169" t="s">
        <v>317</v>
      </c>
      <c r="BN2" s="169" t="s">
        <v>335</v>
      </c>
      <c r="BO2" s="169" t="s">
        <v>308</v>
      </c>
      <c r="BP2" s="169" t="s">
        <v>100</v>
      </c>
      <c r="BQ2" s="169" t="s">
        <v>297</v>
      </c>
      <c r="BR2" s="169" t="s">
        <v>324</v>
      </c>
      <c r="BS2" s="169" t="s">
        <v>114</v>
      </c>
      <c r="BT2" s="169" t="s">
        <v>380</v>
      </c>
      <c r="BU2" s="169" t="s">
        <v>369</v>
      </c>
      <c r="BV2" s="169" t="s">
        <v>361</v>
      </c>
      <c r="BW2" s="169" t="s">
        <v>366</v>
      </c>
      <c r="BX2" s="169" t="s">
        <v>365</v>
      </c>
      <c r="BY2" s="169" t="s">
        <v>364</v>
      </c>
      <c r="BZ2" s="169" t="s">
        <v>363</v>
      </c>
      <c r="CA2" s="169" t="s">
        <v>372</v>
      </c>
      <c r="CB2" s="169" t="s">
        <v>373</v>
      </c>
      <c r="CC2" s="169" t="s">
        <v>374</v>
      </c>
      <c r="CD2" s="170" t="s">
        <v>381</v>
      </c>
    </row>
    <row r="3" spans="1:82">
      <c r="A3" s="171" t="s">
        <v>354</v>
      </c>
      <c r="B3" s="172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>
        <v>7500</v>
      </c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>
        <v>7500</v>
      </c>
      <c r="BY3" s="173"/>
      <c r="BZ3" s="173"/>
      <c r="CA3" s="173"/>
      <c r="CB3" s="173"/>
      <c r="CC3" s="174"/>
      <c r="CD3" s="175">
        <v>15000</v>
      </c>
    </row>
    <row r="4" spans="1:82">
      <c r="A4" s="176" t="s">
        <v>103</v>
      </c>
      <c r="B4" s="177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>
        <v>7500</v>
      </c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  <c r="CB4" s="178"/>
      <c r="CC4" s="179"/>
      <c r="CD4" s="180">
        <v>7500</v>
      </c>
    </row>
    <row r="5" spans="1:82">
      <c r="A5" s="176" t="s">
        <v>190</v>
      </c>
      <c r="B5" s="177"/>
      <c r="C5" s="178"/>
      <c r="D5" s="178"/>
      <c r="E5" s="178">
        <v>12000</v>
      </c>
      <c r="F5" s="178"/>
      <c r="G5" s="178"/>
      <c r="H5" s="178"/>
      <c r="I5" s="178"/>
      <c r="J5" s="178"/>
      <c r="K5" s="178">
        <v>6300</v>
      </c>
      <c r="L5" s="178"/>
      <c r="M5" s="178"/>
      <c r="N5" s="178"/>
      <c r="O5" s="178">
        <v>9300</v>
      </c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>
        <v>9300</v>
      </c>
      <c r="AK5" s="178"/>
      <c r="AL5" s="178"/>
      <c r="AM5" s="178"/>
      <c r="AN5" s="178"/>
      <c r="AO5" s="178"/>
      <c r="AP5" s="178">
        <v>6300</v>
      </c>
      <c r="AQ5" s="178"/>
      <c r="AR5" s="178"/>
      <c r="AS5" s="178"/>
      <c r="AT5" s="178"/>
      <c r="AU5" s="178"/>
      <c r="AV5" s="178"/>
      <c r="AW5" s="178"/>
      <c r="AX5" s="178"/>
      <c r="AY5" s="178"/>
      <c r="AZ5" s="178"/>
      <c r="BA5" s="178"/>
      <c r="BB5" s="178"/>
      <c r="BC5" s="178"/>
      <c r="BD5" s="178"/>
      <c r="BE5" s="178"/>
      <c r="BF5" s="178"/>
      <c r="BG5" s="178"/>
      <c r="BH5" s="178">
        <v>12000</v>
      </c>
      <c r="BI5" s="178"/>
      <c r="BJ5" s="178"/>
      <c r="BK5" s="178"/>
      <c r="BL5" s="178"/>
      <c r="BM5" s="178">
        <v>6300</v>
      </c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>
        <v>9300</v>
      </c>
      <c r="BY5" s="178"/>
      <c r="BZ5" s="178"/>
      <c r="CA5" s="178"/>
      <c r="CB5" s="178"/>
      <c r="CC5" s="179"/>
      <c r="CD5" s="180">
        <v>70800</v>
      </c>
    </row>
    <row r="6" spans="1:82">
      <c r="A6" s="176" t="s">
        <v>102</v>
      </c>
      <c r="B6" s="177"/>
      <c r="C6" s="178"/>
      <c r="D6" s="178"/>
      <c r="E6" s="178">
        <v>5000</v>
      </c>
      <c r="F6" s="178"/>
      <c r="G6" s="178"/>
      <c r="H6" s="178"/>
      <c r="I6" s="178"/>
      <c r="J6" s="178"/>
      <c r="K6" s="178"/>
      <c r="L6" s="178"/>
      <c r="M6" s="178">
        <v>5400</v>
      </c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>
        <v>5000</v>
      </c>
      <c r="BH6" s="178"/>
      <c r="BI6" s="178"/>
      <c r="BJ6" s="178"/>
      <c r="BK6" s="178"/>
      <c r="BL6" s="178"/>
      <c r="BM6" s="178"/>
      <c r="BN6" s="178">
        <v>5400</v>
      </c>
      <c r="BO6" s="178"/>
      <c r="BP6" s="178"/>
      <c r="BQ6" s="178"/>
      <c r="BR6" s="178"/>
      <c r="BS6" s="178"/>
      <c r="BT6" s="178"/>
      <c r="BU6" s="178">
        <v>5500</v>
      </c>
      <c r="BV6" s="178"/>
      <c r="BW6" s="178"/>
      <c r="BX6" s="178"/>
      <c r="BY6" s="178"/>
      <c r="BZ6" s="178"/>
      <c r="CA6" s="178"/>
      <c r="CB6" s="178"/>
      <c r="CC6" s="179"/>
      <c r="CD6" s="180">
        <v>26300</v>
      </c>
    </row>
    <row r="7" spans="1:82">
      <c r="A7" s="176" t="s">
        <v>82</v>
      </c>
      <c r="B7" s="177"/>
      <c r="C7" s="178">
        <v>9200</v>
      </c>
      <c r="D7" s="178"/>
      <c r="E7" s="178"/>
      <c r="F7" s="178"/>
      <c r="G7" s="178"/>
      <c r="H7" s="178"/>
      <c r="I7" s="178"/>
      <c r="J7" s="178">
        <v>5000</v>
      </c>
      <c r="K7" s="178"/>
      <c r="L7" s="178"/>
      <c r="M7" s="178"/>
      <c r="N7" s="178"/>
      <c r="O7" s="178"/>
      <c r="P7" s="178">
        <v>4600</v>
      </c>
      <c r="Q7" s="178"/>
      <c r="R7" s="178"/>
      <c r="S7" s="178">
        <v>4600</v>
      </c>
      <c r="T7" s="178"/>
      <c r="U7" s="178"/>
      <c r="V7" s="178"/>
      <c r="W7" s="178"/>
      <c r="X7" s="178"/>
      <c r="Y7" s="178"/>
      <c r="Z7" s="178">
        <v>4600</v>
      </c>
      <c r="AA7" s="178"/>
      <c r="AB7" s="178"/>
      <c r="AC7" s="178"/>
      <c r="AD7" s="178"/>
      <c r="AE7" s="178"/>
      <c r="AF7" s="178"/>
      <c r="AG7" s="178">
        <v>4600</v>
      </c>
      <c r="AH7" s="178"/>
      <c r="AI7" s="178"/>
      <c r="AJ7" s="178"/>
      <c r="AK7" s="178"/>
      <c r="AL7" s="178"/>
      <c r="AM7" s="178"/>
      <c r="AN7" s="178">
        <v>4600</v>
      </c>
      <c r="AO7" s="178"/>
      <c r="AP7" s="178"/>
      <c r="AQ7" s="178"/>
      <c r="AR7" s="178"/>
      <c r="AS7" s="178"/>
      <c r="AT7" s="178">
        <v>4600</v>
      </c>
      <c r="AU7" s="178"/>
      <c r="AV7" s="178"/>
      <c r="AW7" s="178"/>
      <c r="AX7" s="178"/>
      <c r="AY7" s="178">
        <v>4600</v>
      </c>
      <c r="AZ7" s="178"/>
      <c r="BA7" s="178">
        <v>5000</v>
      </c>
      <c r="BB7" s="178"/>
      <c r="BC7" s="178">
        <v>4600</v>
      </c>
      <c r="BD7" s="178"/>
      <c r="BE7" s="178"/>
      <c r="BF7" s="178"/>
      <c r="BG7" s="178"/>
      <c r="BH7" s="178"/>
      <c r="BI7" s="178">
        <v>4600</v>
      </c>
      <c r="BJ7" s="178"/>
      <c r="BK7" s="178"/>
      <c r="BL7" s="178"/>
      <c r="BM7" s="178"/>
      <c r="BN7" s="178"/>
      <c r="BO7" s="178"/>
      <c r="BP7" s="178">
        <v>4600</v>
      </c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8"/>
      <c r="CC7" s="179"/>
      <c r="CD7" s="180">
        <v>65200</v>
      </c>
    </row>
    <row r="8" spans="1:82">
      <c r="A8" s="176" t="s">
        <v>275</v>
      </c>
      <c r="B8" s="177"/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>
        <v>5200</v>
      </c>
      <c r="O8" s="178"/>
      <c r="P8" s="178"/>
      <c r="Q8" s="178">
        <v>5000</v>
      </c>
      <c r="R8" s="178"/>
      <c r="S8" s="178"/>
      <c r="T8" s="178">
        <v>5000</v>
      </c>
      <c r="U8" s="178"/>
      <c r="V8" s="178"/>
      <c r="W8" s="178"/>
      <c r="X8" s="178"/>
      <c r="Y8" s="178"/>
      <c r="Z8" s="178"/>
      <c r="AA8" s="178">
        <v>5000</v>
      </c>
      <c r="AB8" s="178"/>
      <c r="AC8" s="178"/>
      <c r="AD8" s="178"/>
      <c r="AE8" s="178"/>
      <c r="AF8" s="178"/>
      <c r="AG8" s="178"/>
      <c r="AH8" s="178"/>
      <c r="AI8" s="178">
        <v>5000</v>
      </c>
      <c r="AJ8" s="178"/>
      <c r="AK8" s="178"/>
      <c r="AL8" s="178"/>
      <c r="AM8" s="178"/>
      <c r="AN8" s="178"/>
      <c r="AO8" s="178">
        <v>5000</v>
      </c>
      <c r="AP8" s="178"/>
      <c r="AQ8" s="178">
        <v>5200</v>
      </c>
      <c r="AR8" s="178"/>
      <c r="AS8" s="178"/>
      <c r="AT8" s="178"/>
      <c r="AU8" s="178">
        <v>5000</v>
      </c>
      <c r="AV8" s="178">
        <v>5200</v>
      </c>
      <c r="AW8" s="178"/>
      <c r="AX8" s="178"/>
      <c r="AY8" s="178"/>
      <c r="AZ8" s="178">
        <v>5000</v>
      </c>
      <c r="BA8" s="178"/>
      <c r="BB8" s="178">
        <v>5200</v>
      </c>
      <c r="BC8" s="178"/>
      <c r="BD8" s="178">
        <v>5000</v>
      </c>
      <c r="BE8" s="178"/>
      <c r="BF8" s="178"/>
      <c r="BG8" s="178"/>
      <c r="BH8" s="178"/>
      <c r="BI8" s="178"/>
      <c r="BJ8" s="178"/>
      <c r="BK8" s="178">
        <v>5000</v>
      </c>
      <c r="BL8" s="178"/>
      <c r="BM8" s="178"/>
      <c r="BN8" s="178"/>
      <c r="BO8" s="178">
        <v>2000</v>
      </c>
      <c r="BP8" s="178"/>
      <c r="BQ8" s="178">
        <v>5000</v>
      </c>
      <c r="BR8" s="178"/>
      <c r="BS8" s="178"/>
      <c r="BT8" s="178"/>
      <c r="BU8" s="178"/>
      <c r="BV8" s="178">
        <v>5200</v>
      </c>
      <c r="BW8" s="178"/>
      <c r="BX8" s="178"/>
      <c r="BY8" s="178">
        <v>5200</v>
      </c>
      <c r="BZ8" s="178">
        <v>5200</v>
      </c>
      <c r="CA8" s="178">
        <v>5200</v>
      </c>
      <c r="CB8" s="178"/>
      <c r="CC8" s="179"/>
      <c r="CD8" s="180">
        <v>93600</v>
      </c>
    </row>
    <row r="9" spans="1:82">
      <c r="A9" s="176" t="s">
        <v>145</v>
      </c>
      <c r="B9" s="177"/>
      <c r="C9" s="178">
        <v>1000</v>
      </c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>
        <v>500</v>
      </c>
      <c r="Q9" s="178"/>
      <c r="R9" s="178"/>
      <c r="S9" s="178">
        <v>500</v>
      </c>
      <c r="T9" s="178"/>
      <c r="U9" s="178"/>
      <c r="V9" s="178"/>
      <c r="W9" s="178"/>
      <c r="X9" s="178"/>
      <c r="Y9" s="178"/>
      <c r="Z9" s="178">
        <v>500</v>
      </c>
      <c r="AA9" s="178"/>
      <c r="AB9" s="178"/>
      <c r="AC9" s="178"/>
      <c r="AD9" s="178"/>
      <c r="AE9" s="178"/>
      <c r="AF9" s="178"/>
      <c r="AG9" s="178">
        <v>500</v>
      </c>
      <c r="AH9" s="178"/>
      <c r="AI9" s="178"/>
      <c r="AJ9" s="178"/>
      <c r="AK9" s="178"/>
      <c r="AL9" s="178"/>
      <c r="AM9" s="178"/>
      <c r="AN9" s="178">
        <v>500</v>
      </c>
      <c r="AO9" s="178"/>
      <c r="AP9" s="178"/>
      <c r="AQ9" s="178"/>
      <c r="AR9" s="178"/>
      <c r="AS9" s="178"/>
      <c r="AT9" s="178">
        <v>500</v>
      </c>
      <c r="AU9" s="178"/>
      <c r="AV9" s="178"/>
      <c r="AW9" s="178"/>
      <c r="AX9" s="178"/>
      <c r="AY9" s="178"/>
      <c r="AZ9" s="178"/>
      <c r="BA9" s="178"/>
      <c r="BB9" s="178"/>
      <c r="BC9" s="178">
        <v>500</v>
      </c>
      <c r="BD9" s="178"/>
      <c r="BE9" s="178"/>
      <c r="BF9" s="178"/>
      <c r="BG9" s="178"/>
      <c r="BH9" s="178"/>
      <c r="BI9" s="178">
        <v>500</v>
      </c>
      <c r="BJ9" s="178"/>
      <c r="BK9" s="178"/>
      <c r="BL9" s="178"/>
      <c r="BM9" s="178"/>
      <c r="BN9" s="178"/>
      <c r="BO9" s="178"/>
      <c r="BP9" s="178">
        <v>500</v>
      </c>
      <c r="BQ9" s="178"/>
      <c r="BR9" s="178"/>
      <c r="BS9" s="178"/>
      <c r="BT9" s="178"/>
      <c r="BU9" s="178"/>
      <c r="BV9" s="178"/>
      <c r="BW9" s="178"/>
      <c r="BX9" s="178"/>
      <c r="BY9" s="178"/>
      <c r="BZ9" s="178"/>
      <c r="CA9" s="178"/>
      <c r="CB9" s="178"/>
      <c r="CC9" s="179"/>
      <c r="CD9" s="180">
        <v>5500</v>
      </c>
    </row>
    <row r="10" spans="1:82">
      <c r="A10" s="176" t="s">
        <v>131</v>
      </c>
      <c r="B10" s="177"/>
      <c r="C10" s="178"/>
      <c r="D10" s="178"/>
      <c r="E10" s="178"/>
      <c r="F10" s="178"/>
      <c r="G10" s="178">
        <v>3300</v>
      </c>
      <c r="H10" s="178"/>
      <c r="I10" s="178"/>
      <c r="J10" s="178">
        <v>1100</v>
      </c>
      <c r="K10" s="178"/>
      <c r="L10" s="178"/>
      <c r="M10" s="178"/>
      <c r="N10" s="178">
        <v>1100</v>
      </c>
      <c r="O10" s="178"/>
      <c r="P10" s="178">
        <v>1100</v>
      </c>
      <c r="Q10" s="178">
        <v>1100</v>
      </c>
      <c r="R10" s="178"/>
      <c r="S10" s="178">
        <v>1100</v>
      </c>
      <c r="T10" s="178">
        <v>1100</v>
      </c>
      <c r="U10" s="178"/>
      <c r="V10" s="178"/>
      <c r="W10" s="178"/>
      <c r="X10" s="178"/>
      <c r="Y10" s="178"/>
      <c r="Z10" s="178">
        <v>1100</v>
      </c>
      <c r="AA10" s="178">
        <v>1100</v>
      </c>
      <c r="AB10" s="178"/>
      <c r="AC10" s="178"/>
      <c r="AD10" s="178"/>
      <c r="AE10" s="178"/>
      <c r="AF10" s="178"/>
      <c r="AG10" s="178">
        <v>1100</v>
      </c>
      <c r="AH10" s="178"/>
      <c r="AI10" s="178">
        <v>1100</v>
      </c>
      <c r="AJ10" s="178"/>
      <c r="AK10" s="178"/>
      <c r="AL10" s="178"/>
      <c r="AM10" s="178"/>
      <c r="AN10" s="178">
        <v>1100</v>
      </c>
      <c r="AO10" s="178">
        <v>1100</v>
      </c>
      <c r="AP10" s="178"/>
      <c r="AQ10" s="178">
        <v>1100</v>
      </c>
      <c r="AR10" s="178"/>
      <c r="AS10" s="178"/>
      <c r="AT10" s="178"/>
      <c r="AU10" s="178">
        <v>1100</v>
      </c>
      <c r="AV10" s="178">
        <v>1100</v>
      </c>
      <c r="AW10" s="178">
        <v>1100</v>
      </c>
      <c r="AX10" s="178"/>
      <c r="AY10" s="178">
        <v>1100</v>
      </c>
      <c r="AZ10" s="178">
        <v>1100</v>
      </c>
      <c r="BA10" s="178">
        <v>1100</v>
      </c>
      <c r="BB10" s="178">
        <v>1100</v>
      </c>
      <c r="BC10" s="178">
        <v>1100</v>
      </c>
      <c r="BD10" s="178">
        <v>1100</v>
      </c>
      <c r="BE10" s="178"/>
      <c r="BF10" s="178"/>
      <c r="BG10" s="178"/>
      <c r="BH10" s="178"/>
      <c r="BI10" s="178">
        <v>1100</v>
      </c>
      <c r="BJ10" s="178"/>
      <c r="BK10" s="178">
        <v>1100</v>
      </c>
      <c r="BL10" s="178"/>
      <c r="BM10" s="178"/>
      <c r="BN10" s="178"/>
      <c r="BO10" s="178"/>
      <c r="BP10" s="178">
        <v>1100</v>
      </c>
      <c r="BQ10" s="178">
        <v>1100</v>
      </c>
      <c r="BR10" s="178"/>
      <c r="BS10" s="178"/>
      <c r="BT10" s="178"/>
      <c r="BU10" s="178"/>
      <c r="BV10" s="178">
        <v>1100</v>
      </c>
      <c r="BW10" s="178"/>
      <c r="BX10" s="178"/>
      <c r="BY10" s="178">
        <v>1100</v>
      </c>
      <c r="BZ10" s="178">
        <v>1100</v>
      </c>
      <c r="CA10" s="178">
        <v>1100</v>
      </c>
      <c r="CB10" s="178"/>
      <c r="CC10" s="179"/>
      <c r="CD10" s="180">
        <v>36300</v>
      </c>
    </row>
    <row r="11" spans="1:82">
      <c r="A11" s="176" t="s">
        <v>128</v>
      </c>
      <c r="B11" s="177"/>
      <c r="C11" s="178"/>
      <c r="D11" s="178"/>
      <c r="E11" s="178"/>
      <c r="F11" s="178"/>
      <c r="G11" s="178">
        <v>27600</v>
      </c>
      <c r="H11" s="178"/>
      <c r="I11" s="178"/>
      <c r="J11" s="178">
        <v>9200</v>
      </c>
      <c r="K11" s="178"/>
      <c r="L11" s="178"/>
      <c r="M11" s="178"/>
      <c r="N11" s="178">
        <v>11200</v>
      </c>
      <c r="O11" s="178"/>
      <c r="P11" s="178">
        <v>9200</v>
      </c>
      <c r="Q11" s="178">
        <v>10200</v>
      </c>
      <c r="R11" s="178"/>
      <c r="S11" s="178">
        <v>9200</v>
      </c>
      <c r="T11" s="178">
        <v>10200</v>
      </c>
      <c r="U11" s="178"/>
      <c r="V11" s="178"/>
      <c r="W11" s="178"/>
      <c r="X11" s="178"/>
      <c r="Y11" s="178"/>
      <c r="Z11" s="178">
        <v>9200</v>
      </c>
      <c r="AA11" s="178">
        <v>10200</v>
      </c>
      <c r="AB11" s="178"/>
      <c r="AC11" s="178"/>
      <c r="AD11" s="178"/>
      <c r="AE11" s="178"/>
      <c r="AF11" s="178"/>
      <c r="AG11" s="178">
        <v>9200</v>
      </c>
      <c r="AH11" s="178"/>
      <c r="AI11" s="178">
        <v>10200</v>
      </c>
      <c r="AJ11" s="178"/>
      <c r="AK11" s="178"/>
      <c r="AL11" s="178"/>
      <c r="AM11" s="178"/>
      <c r="AN11" s="178">
        <v>9200</v>
      </c>
      <c r="AO11" s="178">
        <v>11200</v>
      </c>
      <c r="AP11" s="178"/>
      <c r="AQ11" s="178">
        <v>11200</v>
      </c>
      <c r="AR11" s="178"/>
      <c r="AS11" s="178"/>
      <c r="AT11" s="178"/>
      <c r="AU11" s="178">
        <v>9200</v>
      </c>
      <c r="AV11" s="178">
        <v>11200</v>
      </c>
      <c r="AW11" s="178">
        <v>9200</v>
      </c>
      <c r="AX11" s="178"/>
      <c r="AY11" s="178">
        <v>9200</v>
      </c>
      <c r="AZ11" s="178">
        <v>10200</v>
      </c>
      <c r="BA11" s="178">
        <v>9200</v>
      </c>
      <c r="BB11" s="178">
        <v>11200</v>
      </c>
      <c r="BC11" s="178">
        <v>9200</v>
      </c>
      <c r="BD11" s="178">
        <v>10200</v>
      </c>
      <c r="BE11" s="178"/>
      <c r="BF11" s="178"/>
      <c r="BG11" s="178"/>
      <c r="BH11" s="178"/>
      <c r="BI11" s="178">
        <v>9200</v>
      </c>
      <c r="BJ11" s="178"/>
      <c r="BK11" s="178">
        <v>10200</v>
      </c>
      <c r="BL11" s="178"/>
      <c r="BM11" s="178"/>
      <c r="BN11" s="178"/>
      <c r="BO11" s="178"/>
      <c r="BP11" s="178">
        <v>9200</v>
      </c>
      <c r="BQ11" s="178">
        <v>10200</v>
      </c>
      <c r="BR11" s="178"/>
      <c r="BS11" s="178"/>
      <c r="BT11" s="178"/>
      <c r="BU11" s="178"/>
      <c r="BV11" s="178">
        <v>11200</v>
      </c>
      <c r="BW11" s="178"/>
      <c r="BX11" s="178"/>
      <c r="BY11" s="178">
        <v>11200</v>
      </c>
      <c r="BZ11" s="178">
        <v>11200</v>
      </c>
      <c r="CA11" s="178">
        <v>11200</v>
      </c>
      <c r="CB11" s="178"/>
      <c r="CC11" s="179"/>
      <c r="CD11" s="180">
        <v>329600</v>
      </c>
    </row>
    <row r="12" spans="1:82">
      <c r="A12" s="176" t="s">
        <v>116</v>
      </c>
      <c r="B12" s="177"/>
      <c r="C12" s="178">
        <v>4160</v>
      </c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>
        <v>1800</v>
      </c>
      <c r="T12" s="178"/>
      <c r="U12" s="178"/>
      <c r="V12" s="178"/>
      <c r="W12" s="178"/>
      <c r="X12" s="178"/>
      <c r="Y12" s="178"/>
      <c r="Z12" s="178">
        <v>1850</v>
      </c>
      <c r="AA12" s="178"/>
      <c r="AB12" s="178"/>
      <c r="AC12" s="178"/>
      <c r="AD12" s="178"/>
      <c r="AE12" s="178"/>
      <c r="AF12" s="178"/>
      <c r="AG12" s="178">
        <v>1800</v>
      </c>
      <c r="AH12" s="178"/>
      <c r="AI12" s="178"/>
      <c r="AJ12" s="178"/>
      <c r="AK12" s="178"/>
      <c r="AL12" s="178"/>
      <c r="AM12" s="178">
        <v>4150</v>
      </c>
      <c r="AN12" s="178"/>
      <c r="AO12" s="178"/>
      <c r="AP12" s="178"/>
      <c r="AQ12" s="178"/>
      <c r="AR12" s="178"/>
      <c r="AS12" s="178"/>
      <c r="AT12" s="178">
        <v>2040</v>
      </c>
      <c r="AU12" s="178"/>
      <c r="AV12" s="178"/>
      <c r="AW12" s="178"/>
      <c r="AX12" s="178"/>
      <c r="AY12" s="178">
        <v>1850</v>
      </c>
      <c r="AZ12" s="178"/>
      <c r="BA12" s="178"/>
      <c r="BB12" s="178"/>
      <c r="BC12" s="178">
        <v>2000</v>
      </c>
      <c r="BD12" s="178"/>
      <c r="BE12" s="178">
        <v>14863</v>
      </c>
      <c r="BF12" s="178"/>
      <c r="BG12" s="178"/>
      <c r="BH12" s="178"/>
      <c r="BI12" s="178">
        <v>2000</v>
      </c>
      <c r="BJ12" s="178"/>
      <c r="BK12" s="178"/>
      <c r="BL12" s="178"/>
      <c r="BM12" s="178"/>
      <c r="BN12" s="178"/>
      <c r="BO12" s="178"/>
      <c r="BP12" s="178">
        <v>5000</v>
      </c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9"/>
      <c r="CD12" s="180">
        <v>41513</v>
      </c>
    </row>
    <row r="13" spans="1:82">
      <c r="A13" s="176" t="s">
        <v>118</v>
      </c>
      <c r="B13" s="177"/>
      <c r="C13" s="178">
        <v>1520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>
        <v>700</v>
      </c>
      <c r="T13" s="178"/>
      <c r="U13" s="178"/>
      <c r="V13" s="178"/>
      <c r="W13" s="178"/>
      <c r="X13" s="178"/>
      <c r="Y13" s="178"/>
      <c r="Z13" s="178">
        <v>700</v>
      </c>
      <c r="AA13" s="178"/>
      <c r="AB13" s="178"/>
      <c r="AC13" s="178"/>
      <c r="AD13" s="178"/>
      <c r="AE13" s="178"/>
      <c r="AF13" s="178"/>
      <c r="AG13" s="178">
        <v>700</v>
      </c>
      <c r="AH13" s="178"/>
      <c r="AI13" s="178"/>
      <c r="AJ13" s="178"/>
      <c r="AK13" s="178"/>
      <c r="AL13" s="178"/>
      <c r="AM13" s="178">
        <v>1400</v>
      </c>
      <c r="AN13" s="178"/>
      <c r="AO13" s="178"/>
      <c r="AP13" s="178"/>
      <c r="AQ13" s="178"/>
      <c r="AR13" s="178"/>
      <c r="AS13" s="178"/>
      <c r="AT13" s="178">
        <v>750</v>
      </c>
      <c r="AU13" s="178"/>
      <c r="AV13" s="178"/>
      <c r="AW13" s="178"/>
      <c r="AX13" s="178"/>
      <c r="AY13" s="178">
        <v>700</v>
      </c>
      <c r="AZ13" s="178"/>
      <c r="BA13" s="178"/>
      <c r="BB13" s="178"/>
      <c r="BC13" s="178">
        <v>700</v>
      </c>
      <c r="BD13" s="178"/>
      <c r="BE13" s="178">
        <v>6460</v>
      </c>
      <c r="BF13" s="178"/>
      <c r="BG13" s="178"/>
      <c r="BH13" s="178"/>
      <c r="BI13" s="178">
        <v>700</v>
      </c>
      <c r="BJ13" s="178"/>
      <c r="BK13" s="178"/>
      <c r="BL13" s="178"/>
      <c r="BM13" s="178"/>
      <c r="BN13" s="178"/>
      <c r="BO13" s="178"/>
      <c r="BP13" s="178">
        <v>700</v>
      </c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9"/>
      <c r="CD13" s="180">
        <v>15030</v>
      </c>
    </row>
    <row r="14" spans="1:82">
      <c r="A14" s="176" t="s">
        <v>119</v>
      </c>
      <c r="B14" s="177"/>
      <c r="C14" s="178">
        <v>2970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>
        <v>1750</v>
      </c>
      <c r="T14" s="178"/>
      <c r="U14" s="178"/>
      <c r="V14" s="178"/>
      <c r="W14" s="178"/>
      <c r="X14" s="178"/>
      <c r="Y14" s="178"/>
      <c r="Z14" s="178">
        <v>1800</v>
      </c>
      <c r="AA14" s="178"/>
      <c r="AB14" s="178"/>
      <c r="AC14" s="178"/>
      <c r="AD14" s="178"/>
      <c r="AE14" s="178"/>
      <c r="AF14" s="178"/>
      <c r="AG14" s="178">
        <v>1800</v>
      </c>
      <c r="AH14" s="178"/>
      <c r="AI14" s="178"/>
      <c r="AJ14" s="178"/>
      <c r="AK14" s="178"/>
      <c r="AL14" s="178"/>
      <c r="AM14" s="178">
        <v>3250</v>
      </c>
      <c r="AN14" s="178"/>
      <c r="AO14" s="178"/>
      <c r="AP14" s="178"/>
      <c r="AQ14" s="178"/>
      <c r="AR14" s="178"/>
      <c r="AS14" s="178"/>
      <c r="AT14" s="178">
        <v>1600</v>
      </c>
      <c r="AU14" s="178"/>
      <c r="AV14" s="178"/>
      <c r="AW14" s="178"/>
      <c r="AX14" s="178"/>
      <c r="AY14" s="178">
        <v>1900</v>
      </c>
      <c r="AZ14" s="178"/>
      <c r="BA14" s="178"/>
      <c r="BB14" s="178"/>
      <c r="BC14" s="178">
        <v>1700</v>
      </c>
      <c r="BD14" s="178"/>
      <c r="BE14" s="178">
        <v>9675</v>
      </c>
      <c r="BF14" s="178"/>
      <c r="BG14" s="178"/>
      <c r="BH14" s="178"/>
      <c r="BI14" s="178">
        <v>1700</v>
      </c>
      <c r="BJ14" s="178"/>
      <c r="BK14" s="178"/>
      <c r="BL14" s="178"/>
      <c r="BM14" s="178"/>
      <c r="BN14" s="178"/>
      <c r="BO14" s="178"/>
      <c r="BP14" s="178">
        <v>4700</v>
      </c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9"/>
      <c r="CD14" s="180">
        <v>32845</v>
      </c>
    </row>
    <row r="15" spans="1:82">
      <c r="A15" s="176" t="s">
        <v>121</v>
      </c>
      <c r="B15" s="177"/>
      <c r="C15" s="178">
        <v>2770</v>
      </c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>
        <v>1500</v>
      </c>
      <c r="T15" s="178"/>
      <c r="U15" s="178"/>
      <c r="V15" s="178"/>
      <c r="W15" s="178"/>
      <c r="X15" s="178"/>
      <c r="Y15" s="178"/>
      <c r="Z15" s="178">
        <v>1600</v>
      </c>
      <c r="AA15" s="178"/>
      <c r="AB15" s="178"/>
      <c r="AC15" s="178"/>
      <c r="AD15" s="178"/>
      <c r="AE15" s="178"/>
      <c r="AF15" s="178"/>
      <c r="AG15" s="178">
        <v>1500</v>
      </c>
      <c r="AH15" s="178"/>
      <c r="AI15" s="178"/>
      <c r="AJ15" s="178"/>
      <c r="AK15" s="178"/>
      <c r="AL15" s="178"/>
      <c r="AM15" s="178">
        <v>2940</v>
      </c>
      <c r="AN15" s="178"/>
      <c r="AO15" s="178"/>
      <c r="AP15" s="178"/>
      <c r="AQ15" s="178"/>
      <c r="AR15" s="178"/>
      <c r="AS15" s="178"/>
      <c r="AT15" s="178">
        <v>1400</v>
      </c>
      <c r="AU15" s="178"/>
      <c r="AV15" s="178"/>
      <c r="AW15" s="178"/>
      <c r="AX15" s="178"/>
      <c r="AY15" s="178">
        <v>1700</v>
      </c>
      <c r="AZ15" s="178"/>
      <c r="BA15" s="178"/>
      <c r="BB15" s="178"/>
      <c r="BC15" s="178">
        <v>1450</v>
      </c>
      <c r="BD15" s="178"/>
      <c r="BE15" s="178">
        <v>8838</v>
      </c>
      <c r="BF15" s="178"/>
      <c r="BG15" s="178"/>
      <c r="BH15" s="178"/>
      <c r="BI15" s="178">
        <v>1450</v>
      </c>
      <c r="BJ15" s="178"/>
      <c r="BK15" s="178"/>
      <c r="BL15" s="178"/>
      <c r="BM15" s="178"/>
      <c r="BN15" s="178"/>
      <c r="BO15" s="178"/>
      <c r="BP15" s="178">
        <v>1525</v>
      </c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  <c r="CB15" s="178"/>
      <c r="CC15" s="179"/>
      <c r="CD15" s="180">
        <v>26673</v>
      </c>
    </row>
    <row r="16" spans="1:82">
      <c r="A16" s="176" t="s">
        <v>122</v>
      </c>
      <c r="B16" s="177"/>
      <c r="C16" s="178">
        <v>600</v>
      </c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>
        <v>300</v>
      </c>
      <c r="T16" s="178"/>
      <c r="U16" s="178"/>
      <c r="V16" s="178"/>
      <c r="W16" s="178"/>
      <c r="X16" s="178"/>
      <c r="Y16" s="178"/>
      <c r="Z16" s="178">
        <v>300</v>
      </c>
      <c r="AA16" s="178"/>
      <c r="AB16" s="178"/>
      <c r="AC16" s="178"/>
      <c r="AD16" s="178"/>
      <c r="AE16" s="178"/>
      <c r="AF16" s="178"/>
      <c r="AG16" s="178">
        <v>300</v>
      </c>
      <c r="AH16" s="178"/>
      <c r="AI16" s="178"/>
      <c r="AJ16" s="178"/>
      <c r="AK16" s="178"/>
      <c r="AL16" s="178"/>
      <c r="AM16" s="178">
        <v>600</v>
      </c>
      <c r="AN16" s="178"/>
      <c r="AO16" s="178"/>
      <c r="AP16" s="178"/>
      <c r="AQ16" s="178"/>
      <c r="AR16" s="178"/>
      <c r="AS16" s="178"/>
      <c r="AT16" s="178">
        <v>300</v>
      </c>
      <c r="AU16" s="178"/>
      <c r="AV16" s="178"/>
      <c r="AW16" s="178"/>
      <c r="AX16" s="178"/>
      <c r="AY16" s="178">
        <v>300</v>
      </c>
      <c r="AZ16" s="178"/>
      <c r="BA16" s="178"/>
      <c r="BB16" s="178"/>
      <c r="BC16" s="178">
        <v>300</v>
      </c>
      <c r="BD16" s="178"/>
      <c r="BE16" s="178">
        <v>1284</v>
      </c>
      <c r="BF16" s="178"/>
      <c r="BG16" s="178"/>
      <c r="BH16" s="178"/>
      <c r="BI16" s="178">
        <v>300</v>
      </c>
      <c r="BJ16" s="178"/>
      <c r="BK16" s="178"/>
      <c r="BL16" s="178"/>
      <c r="BM16" s="178"/>
      <c r="BN16" s="178"/>
      <c r="BO16" s="178"/>
      <c r="BP16" s="178">
        <v>300</v>
      </c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9"/>
      <c r="CD16" s="180">
        <v>4884</v>
      </c>
    </row>
    <row r="17" spans="1:82">
      <c r="A17" s="176" t="s">
        <v>173</v>
      </c>
      <c r="B17" s="177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>
        <v>400</v>
      </c>
      <c r="T17" s="178"/>
      <c r="U17" s="178"/>
      <c r="V17" s="178"/>
      <c r="W17" s="178">
        <v>3000</v>
      </c>
      <c r="X17" s="178"/>
      <c r="Y17" s="178"/>
      <c r="Z17" s="178">
        <v>400</v>
      </c>
      <c r="AA17" s="178"/>
      <c r="AB17" s="178"/>
      <c r="AC17" s="178"/>
      <c r="AD17" s="178"/>
      <c r="AE17" s="178"/>
      <c r="AF17" s="178"/>
      <c r="AG17" s="178">
        <v>400</v>
      </c>
      <c r="AH17" s="178"/>
      <c r="AI17" s="178"/>
      <c r="AJ17" s="178"/>
      <c r="AK17" s="178"/>
      <c r="AL17" s="178"/>
      <c r="AM17" s="178">
        <v>600</v>
      </c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>
        <v>400</v>
      </c>
      <c r="AZ17" s="178"/>
      <c r="BA17" s="178"/>
      <c r="BB17" s="178"/>
      <c r="BC17" s="178">
        <v>300</v>
      </c>
      <c r="BD17" s="178"/>
      <c r="BE17" s="178"/>
      <c r="BF17" s="178"/>
      <c r="BG17" s="178"/>
      <c r="BH17" s="178"/>
      <c r="BI17" s="178">
        <v>300</v>
      </c>
      <c r="BJ17" s="178"/>
      <c r="BK17" s="178"/>
      <c r="BL17" s="178"/>
      <c r="BM17" s="178"/>
      <c r="BN17" s="178"/>
      <c r="BO17" s="178"/>
      <c r="BP17" s="178">
        <v>300</v>
      </c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  <c r="CB17" s="178"/>
      <c r="CC17" s="179"/>
      <c r="CD17" s="180">
        <v>6100</v>
      </c>
    </row>
    <row r="18" spans="1:82">
      <c r="A18" s="176" t="s">
        <v>123</v>
      </c>
      <c r="B18" s="177"/>
      <c r="C18" s="178">
        <v>22476</v>
      </c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>
        <v>9288</v>
      </c>
      <c r="T18" s="178"/>
      <c r="U18" s="178"/>
      <c r="V18" s="178"/>
      <c r="W18" s="178"/>
      <c r="X18" s="178"/>
      <c r="Y18" s="178"/>
      <c r="Z18" s="178">
        <v>9336</v>
      </c>
      <c r="AA18" s="178"/>
      <c r="AB18" s="178"/>
      <c r="AC18" s="178"/>
      <c r="AD18" s="178"/>
      <c r="AE18" s="178"/>
      <c r="AF18" s="178"/>
      <c r="AG18" s="178">
        <v>9456</v>
      </c>
      <c r="AH18" s="178"/>
      <c r="AI18" s="178"/>
      <c r="AJ18" s="178"/>
      <c r="AK18" s="178"/>
      <c r="AL18" s="178"/>
      <c r="AM18" s="178">
        <v>21252</v>
      </c>
      <c r="AN18" s="178"/>
      <c r="AO18" s="178"/>
      <c r="AP18" s="178"/>
      <c r="AQ18" s="178"/>
      <c r="AR18" s="178"/>
      <c r="AS18" s="178"/>
      <c r="AT18" s="178">
        <v>9611</v>
      </c>
      <c r="AU18" s="178"/>
      <c r="AV18" s="178"/>
      <c r="AW18" s="178"/>
      <c r="AX18" s="178"/>
      <c r="AY18" s="178">
        <v>9816</v>
      </c>
      <c r="AZ18" s="178"/>
      <c r="BA18" s="178"/>
      <c r="BB18" s="178"/>
      <c r="BC18" s="178">
        <v>9504</v>
      </c>
      <c r="BD18" s="178"/>
      <c r="BE18" s="178">
        <v>65963</v>
      </c>
      <c r="BF18" s="178"/>
      <c r="BG18" s="178"/>
      <c r="BH18" s="178"/>
      <c r="BI18" s="178">
        <v>9924</v>
      </c>
      <c r="BJ18" s="178"/>
      <c r="BK18" s="178"/>
      <c r="BL18" s="178"/>
      <c r="BM18" s="178"/>
      <c r="BN18" s="178"/>
      <c r="BO18" s="178"/>
      <c r="BP18" s="178">
        <v>10152</v>
      </c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  <c r="CB18" s="178"/>
      <c r="CC18" s="179"/>
      <c r="CD18" s="180">
        <v>186778</v>
      </c>
    </row>
    <row r="19" spans="1:82">
      <c r="A19" s="176" t="s">
        <v>124</v>
      </c>
      <c r="B19" s="177"/>
      <c r="C19" s="178">
        <v>1100</v>
      </c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>
        <v>500</v>
      </c>
      <c r="T19" s="178"/>
      <c r="U19" s="178"/>
      <c r="V19" s="178"/>
      <c r="W19" s="178"/>
      <c r="X19" s="178"/>
      <c r="Y19" s="178"/>
      <c r="Z19" s="178">
        <v>550</v>
      </c>
      <c r="AA19" s="178"/>
      <c r="AB19" s="178"/>
      <c r="AC19" s="178"/>
      <c r="AD19" s="178"/>
      <c r="AE19" s="178"/>
      <c r="AF19" s="178"/>
      <c r="AG19" s="178">
        <v>500</v>
      </c>
      <c r="AH19" s="178"/>
      <c r="AI19" s="178"/>
      <c r="AJ19" s="178"/>
      <c r="AK19" s="178"/>
      <c r="AL19" s="178"/>
      <c r="AM19" s="178">
        <v>1000</v>
      </c>
      <c r="AN19" s="178"/>
      <c r="AO19" s="178"/>
      <c r="AP19" s="178"/>
      <c r="AQ19" s="178"/>
      <c r="AR19" s="178"/>
      <c r="AS19" s="178"/>
      <c r="AT19" s="178">
        <v>538</v>
      </c>
      <c r="AU19" s="178"/>
      <c r="AV19" s="178"/>
      <c r="AW19" s="178"/>
      <c r="AX19" s="178"/>
      <c r="AY19" s="178">
        <v>300</v>
      </c>
      <c r="AZ19" s="178"/>
      <c r="BA19" s="178"/>
      <c r="BB19" s="178"/>
      <c r="BC19" s="178">
        <v>500</v>
      </c>
      <c r="BD19" s="178"/>
      <c r="BE19" s="178">
        <v>3300</v>
      </c>
      <c r="BF19" s="178"/>
      <c r="BG19" s="178"/>
      <c r="BH19" s="178"/>
      <c r="BI19" s="178">
        <v>500</v>
      </c>
      <c r="BJ19" s="178"/>
      <c r="BK19" s="178"/>
      <c r="BL19" s="178"/>
      <c r="BM19" s="178"/>
      <c r="BN19" s="178"/>
      <c r="BO19" s="178"/>
      <c r="BP19" s="178">
        <v>500</v>
      </c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  <c r="CB19" s="178"/>
      <c r="CC19" s="179"/>
      <c r="CD19" s="180">
        <v>9288</v>
      </c>
    </row>
    <row r="20" spans="1:82">
      <c r="A20" s="176" t="s">
        <v>125</v>
      </c>
      <c r="B20" s="177"/>
      <c r="C20" s="178">
        <v>900</v>
      </c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>
        <v>400</v>
      </c>
      <c r="T20" s="178"/>
      <c r="U20" s="178"/>
      <c r="V20" s="178"/>
      <c r="W20" s="178"/>
      <c r="X20" s="178"/>
      <c r="Y20" s="178"/>
      <c r="Z20" s="178">
        <v>400</v>
      </c>
      <c r="AA20" s="178"/>
      <c r="AB20" s="178"/>
      <c r="AC20" s="178"/>
      <c r="AD20" s="178"/>
      <c r="AE20" s="178"/>
      <c r="AF20" s="178"/>
      <c r="AG20" s="178">
        <v>400</v>
      </c>
      <c r="AH20" s="178"/>
      <c r="AI20" s="178"/>
      <c r="AJ20" s="178"/>
      <c r="AK20" s="178"/>
      <c r="AL20" s="178"/>
      <c r="AM20" s="178">
        <v>800</v>
      </c>
      <c r="AN20" s="178"/>
      <c r="AO20" s="178"/>
      <c r="AP20" s="178"/>
      <c r="AQ20" s="178"/>
      <c r="AR20" s="178"/>
      <c r="AS20" s="178"/>
      <c r="AT20" s="178">
        <v>450</v>
      </c>
      <c r="AU20" s="178"/>
      <c r="AV20" s="178"/>
      <c r="AW20" s="178"/>
      <c r="AX20" s="178"/>
      <c r="AY20" s="178">
        <v>400</v>
      </c>
      <c r="AZ20" s="178"/>
      <c r="BA20" s="178"/>
      <c r="BB20" s="178"/>
      <c r="BC20" s="178">
        <v>400</v>
      </c>
      <c r="BD20" s="178"/>
      <c r="BE20" s="178">
        <v>2275</v>
      </c>
      <c r="BF20" s="178"/>
      <c r="BG20" s="178"/>
      <c r="BH20" s="178"/>
      <c r="BI20" s="178">
        <v>400</v>
      </c>
      <c r="BJ20" s="178"/>
      <c r="BK20" s="178"/>
      <c r="BL20" s="178"/>
      <c r="BM20" s="178"/>
      <c r="BN20" s="178"/>
      <c r="BO20" s="178"/>
      <c r="BP20" s="178">
        <v>400</v>
      </c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  <c r="CB20" s="178"/>
      <c r="CC20" s="179"/>
      <c r="CD20" s="180">
        <v>7225</v>
      </c>
    </row>
    <row r="21" spans="1:82">
      <c r="A21" s="176" t="s">
        <v>126</v>
      </c>
      <c r="B21" s="177"/>
      <c r="C21" s="178">
        <v>5040</v>
      </c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>
        <v>2000</v>
      </c>
      <c r="T21" s="178"/>
      <c r="U21" s="178"/>
      <c r="V21" s="178"/>
      <c r="W21" s="178"/>
      <c r="X21" s="178"/>
      <c r="Y21" s="178"/>
      <c r="Z21" s="178">
        <v>2000</v>
      </c>
      <c r="AA21" s="178"/>
      <c r="AB21" s="178"/>
      <c r="AC21" s="178"/>
      <c r="AD21" s="178"/>
      <c r="AE21" s="178"/>
      <c r="AF21" s="178"/>
      <c r="AG21" s="178">
        <v>2000</v>
      </c>
      <c r="AH21" s="178"/>
      <c r="AI21" s="178"/>
      <c r="AJ21" s="178"/>
      <c r="AK21" s="178"/>
      <c r="AL21" s="178"/>
      <c r="AM21" s="178">
        <v>4340</v>
      </c>
      <c r="AN21" s="178"/>
      <c r="AO21" s="178"/>
      <c r="AP21" s="178"/>
      <c r="AQ21" s="178"/>
      <c r="AR21" s="178"/>
      <c r="AS21" s="178"/>
      <c r="AT21" s="178">
        <v>2545</v>
      </c>
      <c r="AU21" s="178"/>
      <c r="AV21" s="178"/>
      <c r="AW21" s="178"/>
      <c r="AX21" s="178"/>
      <c r="AY21" s="178">
        <v>1950</v>
      </c>
      <c r="AZ21" s="178"/>
      <c r="BA21" s="178"/>
      <c r="BB21" s="178"/>
      <c r="BC21" s="178">
        <v>2100</v>
      </c>
      <c r="BD21" s="178"/>
      <c r="BE21" s="178">
        <v>18050</v>
      </c>
      <c r="BF21" s="178"/>
      <c r="BG21" s="178"/>
      <c r="BH21" s="178"/>
      <c r="BI21" s="178">
        <v>2100</v>
      </c>
      <c r="BJ21" s="178"/>
      <c r="BK21" s="178"/>
      <c r="BL21" s="178"/>
      <c r="BM21" s="178"/>
      <c r="BN21" s="178"/>
      <c r="BO21" s="178"/>
      <c r="BP21" s="178">
        <v>5200</v>
      </c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  <c r="CB21" s="178"/>
      <c r="CC21" s="179"/>
      <c r="CD21" s="180">
        <v>47325</v>
      </c>
    </row>
    <row r="22" spans="1:82">
      <c r="A22" s="176" t="s">
        <v>134</v>
      </c>
      <c r="B22" s="177"/>
      <c r="C22" s="178"/>
      <c r="D22" s="178"/>
      <c r="E22" s="178"/>
      <c r="F22" s="178"/>
      <c r="G22" s="178">
        <v>9200</v>
      </c>
      <c r="H22" s="178"/>
      <c r="I22" s="178"/>
      <c r="J22" s="178">
        <v>3100</v>
      </c>
      <c r="K22" s="178"/>
      <c r="L22" s="178"/>
      <c r="M22" s="178"/>
      <c r="N22" s="178">
        <v>3200</v>
      </c>
      <c r="O22" s="178"/>
      <c r="P22" s="178">
        <v>3100</v>
      </c>
      <c r="Q22" s="178">
        <v>3100</v>
      </c>
      <c r="R22" s="178"/>
      <c r="S22" s="178">
        <v>3100</v>
      </c>
      <c r="T22" s="178">
        <v>3100</v>
      </c>
      <c r="U22" s="178"/>
      <c r="V22" s="178"/>
      <c r="W22" s="178"/>
      <c r="X22" s="178"/>
      <c r="Y22" s="178"/>
      <c r="Z22" s="178">
        <v>3100</v>
      </c>
      <c r="AA22" s="178">
        <v>3100</v>
      </c>
      <c r="AB22" s="178"/>
      <c r="AC22" s="178"/>
      <c r="AD22" s="178"/>
      <c r="AE22" s="178"/>
      <c r="AF22" s="178"/>
      <c r="AG22" s="178">
        <v>3100</v>
      </c>
      <c r="AH22" s="178"/>
      <c r="AI22" s="178">
        <v>3100</v>
      </c>
      <c r="AJ22" s="178"/>
      <c r="AK22" s="178"/>
      <c r="AL22" s="178"/>
      <c r="AM22" s="178"/>
      <c r="AN22" s="178">
        <v>3100</v>
      </c>
      <c r="AO22" s="178">
        <v>3100</v>
      </c>
      <c r="AP22" s="178"/>
      <c r="AQ22" s="178">
        <v>3200</v>
      </c>
      <c r="AR22" s="178"/>
      <c r="AS22" s="178"/>
      <c r="AT22" s="178"/>
      <c r="AU22" s="178">
        <v>3100</v>
      </c>
      <c r="AV22" s="178">
        <v>3200</v>
      </c>
      <c r="AW22" s="178">
        <v>3100</v>
      </c>
      <c r="AX22" s="178"/>
      <c r="AY22" s="178">
        <v>3100</v>
      </c>
      <c r="AZ22" s="178">
        <v>3100</v>
      </c>
      <c r="BA22" s="178">
        <v>3100</v>
      </c>
      <c r="BB22" s="178">
        <v>3200</v>
      </c>
      <c r="BC22" s="178">
        <v>3100</v>
      </c>
      <c r="BD22" s="178">
        <v>3100</v>
      </c>
      <c r="BE22" s="178"/>
      <c r="BF22" s="178"/>
      <c r="BG22" s="178"/>
      <c r="BH22" s="178"/>
      <c r="BI22" s="178">
        <v>3100</v>
      </c>
      <c r="BJ22" s="178"/>
      <c r="BK22" s="178">
        <v>3100</v>
      </c>
      <c r="BL22" s="178"/>
      <c r="BM22" s="178"/>
      <c r="BN22" s="178"/>
      <c r="BO22" s="178"/>
      <c r="BP22" s="178">
        <v>3100</v>
      </c>
      <c r="BQ22" s="178">
        <v>3100</v>
      </c>
      <c r="BR22" s="178"/>
      <c r="BS22" s="178"/>
      <c r="BT22" s="178"/>
      <c r="BU22" s="178"/>
      <c r="BV22" s="178">
        <v>3200</v>
      </c>
      <c r="BW22" s="178"/>
      <c r="BX22" s="178"/>
      <c r="BY22" s="178">
        <v>3200</v>
      </c>
      <c r="BZ22" s="178">
        <v>3200</v>
      </c>
      <c r="CA22" s="178">
        <v>3200</v>
      </c>
      <c r="CB22" s="178"/>
      <c r="CC22" s="179"/>
      <c r="CD22" s="180">
        <v>103000</v>
      </c>
    </row>
    <row r="23" spans="1:82">
      <c r="A23" s="176" t="s">
        <v>214</v>
      </c>
      <c r="B23" s="177"/>
      <c r="C23" s="178"/>
      <c r="D23" s="178"/>
      <c r="E23" s="178"/>
      <c r="F23" s="178"/>
      <c r="G23" s="178"/>
      <c r="H23" s="178"/>
      <c r="I23" s="178"/>
      <c r="J23" s="178"/>
      <c r="K23" s="178">
        <v>2500</v>
      </c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>
        <v>2500</v>
      </c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>
        <v>2500</v>
      </c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>
        <v>2500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  <c r="CB23" s="178"/>
      <c r="CC23" s="179"/>
      <c r="CD23" s="180">
        <v>10000</v>
      </c>
    </row>
    <row r="24" spans="1:82">
      <c r="A24" s="176" t="s">
        <v>220</v>
      </c>
      <c r="B24" s="177"/>
      <c r="C24" s="178"/>
      <c r="D24" s="178"/>
      <c r="E24" s="178"/>
      <c r="F24" s="178"/>
      <c r="G24" s="178"/>
      <c r="H24" s="178">
        <v>13500</v>
      </c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>
        <v>4500</v>
      </c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9"/>
      <c r="CD24" s="180">
        <v>18000</v>
      </c>
    </row>
    <row r="25" spans="1:82">
      <c r="A25" s="176" t="s">
        <v>293</v>
      </c>
      <c r="B25" s="177"/>
      <c r="C25" s="178"/>
      <c r="D25" s="178"/>
      <c r="E25" s="178"/>
      <c r="F25" s="178">
        <v>9000</v>
      </c>
      <c r="G25" s="178"/>
      <c r="H25" s="178"/>
      <c r="I25" s="178"/>
      <c r="J25" s="178"/>
      <c r="K25" s="178"/>
      <c r="L25" s="178"/>
      <c r="M25" s="178"/>
      <c r="N25" s="178"/>
      <c r="O25" s="178">
        <v>6000</v>
      </c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>
        <v>9000</v>
      </c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>
        <v>9000</v>
      </c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  <c r="CB25" s="178"/>
      <c r="CC25" s="179"/>
      <c r="CD25" s="180">
        <v>33000</v>
      </c>
    </row>
    <row r="26" spans="1:82">
      <c r="A26" s="176" t="s">
        <v>109</v>
      </c>
      <c r="B26" s="177"/>
      <c r="C26" s="178"/>
      <c r="D26" s="178"/>
      <c r="E26" s="178"/>
      <c r="F26" s="178"/>
      <c r="G26" s="178"/>
      <c r="H26" s="178"/>
      <c r="I26" s="178"/>
      <c r="J26" s="178">
        <v>2700</v>
      </c>
      <c r="K26" s="178"/>
      <c r="L26" s="178"/>
      <c r="M26" s="178"/>
      <c r="N26" s="178">
        <v>2800</v>
      </c>
      <c r="O26" s="178"/>
      <c r="P26" s="178"/>
      <c r="Q26" s="178">
        <v>2700</v>
      </c>
      <c r="R26" s="178"/>
      <c r="S26" s="178">
        <v>2500</v>
      </c>
      <c r="T26" s="178">
        <v>2700</v>
      </c>
      <c r="U26" s="178"/>
      <c r="V26" s="178"/>
      <c r="W26" s="178"/>
      <c r="X26" s="178"/>
      <c r="Y26" s="178"/>
      <c r="Z26" s="178">
        <v>2500</v>
      </c>
      <c r="AA26" s="178">
        <v>2700</v>
      </c>
      <c r="AB26" s="178"/>
      <c r="AC26" s="178"/>
      <c r="AD26" s="178"/>
      <c r="AE26" s="178"/>
      <c r="AF26" s="178"/>
      <c r="AG26" s="178">
        <v>2500</v>
      </c>
      <c r="AH26" s="178"/>
      <c r="AI26" s="178">
        <v>2700</v>
      </c>
      <c r="AJ26" s="178"/>
      <c r="AK26" s="178"/>
      <c r="AL26" s="178"/>
      <c r="AM26" s="178"/>
      <c r="AN26" s="178"/>
      <c r="AO26" s="178">
        <v>2700</v>
      </c>
      <c r="AP26" s="178"/>
      <c r="AQ26" s="178">
        <v>2800</v>
      </c>
      <c r="AR26" s="178"/>
      <c r="AS26" s="178"/>
      <c r="AT26" s="178"/>
      <c r="AU26" s="178">
        <v>2700</v>
      </c>
      <c r="AV26" s="178">
        <v>2800</v>
      </c>
      <c r="AW26" s="178"/>
      <c r="AX26" s="178">
        <v>17500</v>
      </c>
      <c r="AY26" s="178">
        <v>2500</v>
      </c>
      <c r="AZ26" s="178">
        <v>2700</v>
      </c>
      <c r="BA26" s="178">
        <v>2700</v>
      </c>
      <c r="BB26" s="178">
        <v>2800</v>
      </c>
      <c r="BC26" s="178">
        <v>2500</v>
      </c>
      <c r="BD26" s="178">
        <v>2700</v>
      </c>
      <c r="BE26" s="178"/>
      <c r="BF26" s="178"/>
      <c r="BG26" s="178"/>
      <c r="BH26" s="178"/>
      <c r="BI26" s="178">
        <v>2500</v>
      </c>
      <c r="BJ26" s="178"/>
      <c r="BK26" s="178">
        <v>2700</v>
      </c>
      <c r="BL26" s="178"/>
      <c r="BM26" s="178"/>
      <c r="BN26" s="178"/>
      <c r="BO26" s="178">
        <v>1500</v>
      </c>
      <c r="BP26" s="178"/>
      <c r="BQ26" s="178">
        <v>2700</v>
      </c>
      <c r="BR26" s="178"/>
      <c r="BS26" s="178"/>
      <c r="BT26" s="178"/>
      <c r="BU26" s="178"/>
      <c r="BV26" s="178">
        <v>2800</v>
      </c>
      <c r="BW26" s="178"/>
      <c r="BX26" s="178"/>
      <c r="BY26" s="178">
        <v>2800</v>
      </c>
      <c r="BZ26" s="178">
        <v>2800</v>
      </c>
      <c r="CA26" s="178">
        <v>2800</v>
      </c>
      <c r="CB26" s="178"/>
      <c r="CC26" s="179"/>
      <c r="CD26" s="180">
        <v>88800</v>
      </c>
    </row>
    <row r="27" spans="1:82">
      <c r="A27" s="176" t="s">
        <v>147</v>
      </c>
      <c r="B27" s="177"/>
      <c r="C27" s="178">
        <v>10400</v>
      </c>
      <c r="D27" s="178"/>
      <c r="E27" s="178"/>
      <c r="F27" s="178"/>
      <c r="G27" s="178"/>
      <c r="H27" s="178"/>
      <c r="I27" s="178"/>
      <c r="J27" s="178">
        <v>5400</v>
      </c>
      <c r="K27" s="178"/>
      <c r="L27" s="178"/>
      <c r="M27" s="178"/>
      <c r="N27" s="178">
        <v>5600</v>
      </c>
      <c r="O27" s="178"/>
      <c r="P27" s="178">
        <v>5200</v>
      </c>
      <c r="Q27" s="178">
        <v>5400</v>
      </c>
      <c r="R27" s="178"/>
      <c r="S27" s="178">
        <v>5200</v>
      </c>
      <c r="T27" s="178">
        <v>5400</v>
      </c>
      <c r="U27" s="178"/>
      <c r="V27" s="178"/>
      <c r="W27" s="178"/>
      <c r="X27" s="178"/>
      <c r="Y27" s="178"/>
      <c r="Z27" s="178">
        <v>5200</v>
      </c>
      <c r="AA27" s="178">
        <v>5400</v>
      </c>
      <c r="AB27" s="178"/>
      <c r="AC27" s="178"/>
      <c r="AD27" s="178"/>
      <c r="AE27" s="178"/>
      <c r="AF27" s="178"/>
      <c r="AG27" s="178">
        <v>5200</v>
      </c>
      <c r="AH27" s="178"/>
      <c r="AI27" s="178">
        <v>5400</v>
      </c>
      <c r="AJ27" s="178"/>
      <c r="AK27" s="178"/>
      <c r="AL27" s="178"/>
      <c r="AM27" s="178"/>
      <c r="AN27" s="178">
        <v>5200</v>
      </c>
      <c r="AO27" s="178">
        <v>5400</v>
      </c>
      <c r="AP27" s="178"/>
      <c r="AQ27" s="178">
        <v>5600</v>
      </c>
      <c r="AR27" s="178"/>
      <c r="AS27" s="178"/>
      <c r="AT27" s="178">
        <v>5200</v>
      </c>
      <c r="AU27" s="178">
        <v>5400</v>
      </c>
      <c r="AV27" s="178">
        <v>5600</v>
      </c>
      <c r="AW27" s="178"/>
      <c r="AX27" s="178"/>
      <c r="AY27" s="178">
        <v>5200</v>
      </c>
      <c r="AZ27" s="178">
        <v>5400</v>
      </c>
      <c r="BA27" s="178">
        <v>5400</v>
      </c>
      <c r="BB27" s="178">
        <v>5600</v>
      </c>
      <c r="BC27" s="178">
        <v>5200</v>
      </c>
      <c r="BD27" s="178">
        <v>5400</v>
      </c>
      <c r="BE27" s="178"/>
      <c r="BF27" s="178"/>
      <c r="BG27" s="178"/>
      <c r="BH27" s="178"/>
      <c r="BI27" s="178">
        <v>5200</v>
      </c>
      <c r="BJ27" s="178"/>
      <c r="BK27" s="178">
        <v>5400</v>
      </c>
      <c r="BL27" s="178"/>
      <c r="BM27" s="178"/>
      <c r="BN27" s="178"/>
      <c r="BO27" s="178"/>
      <c r="BP27" s="178">
        <v>5200</v>
      </c>
      <c r="BQ27" s="178">
        <v>5400</v>
      </c>
      <c r="BR27" s="178"/>
      <c r="BS27" s="178"/>
      <c r="BT27" s="178"/>
      <c r="BU27" s="178"/>
      <c r="BV27" s="178">
        <v>5600</v>
      </c>
      <c r="BW27" s="178"/>
      <c r="BX27" s="178"/>
      <c r="BY27" s="178">
        <v>5600</v>
      </c>
      <c r="BZ27" s="178">
        <v>5600</v>
      </c>
      <c r="CA27" s="178">
        <v>5600</v>
      </c>
      <c r="CB27" s="178"/>
      <c r="CC27" s="179"/>
      <c r="CD27" s="180">
        <v>172000</v>
      </c>
    </row>
    <row r="28" spans="1:82">
      <c r="A28" s="176" t="s">
        <v>330</v>
      </c>
      <c r="B28" s="177"/>
      <c r="C28" s="178"/>
      <c r="D28" s="178"/>
      <c r="E28" s="178"/>
      <c r="F28" s="178"/>
      <c r="G28" s="178"/>
      <c r="H28" s="178"/>
      <c r="I28" s="178"/>
      <c r="J28" s="178"/>
      <c r="K28" s="178"/>
      <c r="L28" s="178">
        <v>8400</v>
      </c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9"/>
      <c r="CD28" s="180">
        <v>8400</v>
      </c>
    </row>
    <row r="29" spans="1:82">
      <c r="A29" s="176" t="s">
        <v>130</v>
      </c>
      <c r="B29" s="177"/>
      <c r="C29" s="178"/>
      <c r="D29" s="178"/>
      <c r="E29" s="178"/>
      <c r="F29" s="178"/>
      <c r="G29" s="178">
        <v>4500</v>
      </c>
      <c r="H29" s="178"/>
      <c r="I29" s="178"/>
      <c r="J29" s="178">
        <v>1500</v>
      </c>
      <c r="K29" s="178"/>
      <c r="L29" s="178"/>
      <c r="M29" s="178"/>
      <c r="N29" s="178">
        <v>1500</v>
      </c>
      <c r="O29" s="178"/>
      <c r="P29" s="178">
        <v>1500</v>
      </c>
      <c r="Q29" s="178">
        <v>1500</v>
      </c>
      <c r="R29" s="178"/>
      <c r="S29" s="178">
        <v>1500</v>
      </c>
      <c r="T29" s="178">
        <v>1500</v>
      </c>
      <c r="U29" s="178"/>
      <c r="V29" s="178"/>
      <c r="W29" s="178"/>
      <c r="X29" s="178"/>
      <c r="Y29" s="178"/>
      <c r="Z29" s="178">
        <v>1500</v>
      </c>
      <c r="AA29" s="178">
        <v>1500</v>
      </c>
      <c r="AB29" s="178"/>
      <c r="AC29" s="178"/>
      <c r="AD29" s="178"/>
      <c r="AE29" s="178"/>
      <c r="AF29" s="178"/>
      <c r="AG29" s="178">
        <v>1500</v>
      </c>
      <c r="AH29" s="178"/>
      <c r="AI29" s="178">
        <v>1500</v>
      </c>
      <c r="AJ29" s="178"/>
      <c r="AK29" s="178"/>
      <c r="AL29" s="178"/>
      <c r="AM29" s="178"/>
      <c r="AN29" s="178">
        <v>1500</v>
      </c>
      <c r="AO29" s="178">
        <v>1500</v>
      </c>
      <c r="AP29" s="178"/>
      <c r="AQ29" s="178">
        <v>1500</v>
      </c>
      <c r="AR29" s="178"/>
      <c r="AS29" s="178"/>
      <c r="AT29" s="178"/>
      <c r="AU29" s="178">
        <v>1500</v>
      </c>
      <c r="AV29" s="178">
        <v>1500</v>
      </c>
      <c r="AW29" s="178">
        <v>1500</v>
      </c>
      <c r="AX29" s="178"/>
      <c r="AY29" s="178">
        <v>1500</v>
      </c>
      <c r="AZ29" s="178">
        <v>1500</v>
      </c>
      <c r="BA29" s="178">
        <v>1500</v>
      </c>
      <c r="BB29" s="178">
        <v>1500</v>
      </c>
      <c r="BC29" s="178">
        <v>1500</v>
      </c>
      <c r="BD29" s="178">
        <v>1500</v>
      </c>
      <c r="BE29" s="178"/>
      <c r="BF29" s="178"/>
      <c r="BG29" s="178"/>
      <c r="BH29" s="178"/>
      <c r="BI29" s="178">
        <v>1500</v>
      </c>
      <c r="BJ29" s="178"/>
      <c r="BK29" s="178">
        <v>1500</v>
      </c>
      <c r="BL29" s="178"/>
      <c r="BM29" s="178"/>
      <c r="BN29" s="178"/>
      <c r="BO29" s="178"/>
      <c r="BP29" s="178">
        <v>1500</v>
      </c>
      <c r="BQ29" s="178">
        <v>1500</v>
      </c>
      <c r="BR29" s="178"/>
      <c r="BS29" s="178"/>
      <c r="BT29" s="178"/>
      <c r="BU29" s="178"/>
      <c r="BV29" s="178">
        <v>1500</v>
      </c>
      <c r="BW29" s="178"/>
      <c r="BX29" s="178"/>
      <c r="BY29" s="178">
        <v>1500</v>
      </c>
      <c r="BZ29" s="178">
        <v>1500</v>
      </c>
      <c r="CA29" s="178">
        <v>1500</v>
      </c>
      <c r="CB29" s="178"/>
      <c r="CC29" s="179"/>
      <c r="CD29" s="180">
        <v>49500</v>
      </c>
    </row>
    <row r="30" spans="1:82">
      <c r="A30" s="176" t="s">
        <v>144</v>
      </c>
      <c r="B30" s="177"/>
      <c r="C30" s="178">
        <v>33000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>
        <v>16500</v>
      </c>
      <c r="Q30" s="178"/>
      <c r="R30" s="178"/>
      <c r="S30" s="178">
        <v>16500</v>
      </c>
      <c r="T30" s="178"/>
      <c r="U30" s="178"/>
      <c r="V30" s="178"/>
      <c r="W30" s="178"/>
      <c r="X30" s="178"/>
      <c r="Y30" s="178"/>
      <c r="Z30" s="178">
        <v>16500</v>
      </c>
      <c r="AA30" s="178"/>
      <c r="AB30" s="178"/>
      <c r="AC30" s="178"/>
      <c r="AD30" s="178"/>
      <c r="AE30" s="178"/>
      <c r="AF30" s="178"/>
      <c r="AG30" s="178">
        <v>16500</v>
      </c>
      <c r="AH30" s="178"/>
      <c r="AI30" s="178"/>
      <c r="AJ30" s="178"/>
      <c r="AK30" s="178"/>
      <c r="AL30" s="178"/>
      <c r="AM30" s="178"/>
      <c r="AN30" s="178">
        <v>16500</v>
      </c>
      <c r="AO30" s="178"/>
      <c r="AP30" s="178"/>
      <c r="AQ30" s="178"/>
      <c r="AR30" s="178"/>
      <c r="AS30" s="178"/>
      <c r="AT30" s="178">
        <v>16500</v>
      </c>
      <c r="AU30" s="178"/>
      <c r="AV30" s="178"/>
      <c r="AW30" s="178"/>
      <c r="AX30" s="178"/>
      <c r="AY30" s="178"/>
      <c r="AZ30" s="178"/>
      <c r="BA30" s="178"/>
      <c r="BB30" s="178"/>
      <c r="BC30" s="178">
        <v>16500</v>
      </c>
      <c r="BD30" s="178"/>
      <c r="BE30" s="178"/>
      <c r="BF30" s="178"/>
      <c r="BG30" s="178"/>
      <c r="BH30" s="178"/>
      <c r="BI30" s="178">
        <v>16500</v>
      </c>
      <c r="BJ30" s="178"/>
      <c r="BK30" s="178"/>
      <c r="BL30" s="178"/>
      <c r="BM30" s="178"/>
      <c r="BN30" s="178"/>
      <c r="BO30" s="178"/>
      <c r="BP30" s="178">
        <v>16500</v>
      </c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9"/>
      <c r="CD30" s="180">
        <v>181500</v>
      </c>
    </row>
    <row r="31" spans="1:82">
      <c r="A31" s="176" t="s">
        <v>159</v>
      </c>
      <c r="B31" s="177"/>
      <c r="C31" s="178"/>
      <c r="D31" s="178"/>
      <c r="E31" s="178"/>
      <c r="F31" s="178"/>
      <c r="G31" s="178">
        <v>3000</v>
      </c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>
        <v>1000</v>
      </c>
      <c r="AO31" s="178"/>
      <c r="AP31" s="178"/>
      <c r="AQ31" s="178"/>
      <c r="AR31" s="178"/>
      <c r="AS31" s="178"/>
      <c r="AT31" s="178"/>
      <c r="AU31" s="178"/>
      <c r="AV31" s="178"/>
      <c r="AW31" s="178"/>
      <c r="AX31" s="178"/>
      <c r="AY31" s="178"/>
      <c r="AZ31" s="178"/>
      <c r="BA31" s="178"/>
      <c r="BB31" s="178"/>
      <c r="BC31" s="178"/>
      <c r="BD31" s="178"/>
      <c r="BE31" s="178"/>
      <c r="BF31" s="178"/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9"/>
      <c r="CD31" s="180">
        <v>4000</v>
      </c>
    </row>
    <row r="32" spans="1:82">
      <c r="A32" s="176" t="s">
        <v>233</v>
      </c>
      <c r="B32" s="177"/>
      <c r="C32" s="178"/>
      <c r="D32" s="178"/>
      <c r="E32" s="178"/>
      <c r="F32" s="178"/>
      <c r="G32" s="178"/>
      <c r="H32" s="178"/>
      <c r="I32" s="178">
        <v>14300</v>
      </c>
      <c r="J32" s="178"/>
      <c r="K32" s="178"/>
      <c r="L32" s="178">
        <v>14900</v>
      </c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  <c r="CB32" s="178"/>
      <c r="CC32" s="179"/>
      <c r="CD32" s="180">
        <v>29200</v>
      </c>
    </row>
    <row r="33" spans="1:82">
      <c r="A33" s="176" t="s">
        <v>153</v>
      </c>
      <c r="B33" s="177"/>
      <c r="C33" s="178"/>
      <c r="D33" s="178"/>
      <c r="E33" s="178"/>
      <c r="F33" s="178"/>
      <c r="G33" s="178">
        <v>6000</v>
      </c>
      <c r="H33" s="178"/>
      <c r="I33" s="178"/>
      <c r="J33" s="178"/>
      <c r="K33" s="178">
        <v>6300</v>
      </c>
      <c r="L33" s="178"/>
      <c r="M33" s="178"/>
      <c r="N33" s="178"/>
      <c r="O33" s="178">
        <v>6300</v>
      </c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v>6000</v>
      </c>
      <c r="AI33" s="178"/>
      <c r="AJ33" s="178"/>
      <c r="AK33" s="178">
        <v>6300</v>
      </c>
      <c r="AL33" s="178"/>
      <c r="AM33" s="178"/>
      <c r="AN33" s="178"/>
      <c r="AO33" s="178"/>
      <c r="AP33" s="178">
        <v>6300</v>
      </c>
      <c r="AQ33" s="178"/>
      <c r="AR33" s="178">
        <v>6000</v>
      </c>
      <c r="AS33" s="178"/>
      <c r="AT33" s="178"/>
      <c r="AU33" s="178"/>
      <c r="AV33" s="178"/>
      <c r="AW33" s="178"/>
      <c r="AX33" s="178"/>
      <c r="AY33" s="178"/>
      <c r="AZ33" s="178"/>
      <c r="BA33" s="178"/>
      <c r="BB33" s="178"/>
      <c r="BC33" s="178"/>
      <c r="BD33" s="178"/>
      <c r="BE33" s="178"/>
      <c r="BF33" s="178"/>
      <c r="BG33" s="178"/>
      <c r="BH33" s="178"/>
      <c r="BI33" s="178"/>
      <c r="BJ33" s="178">
        <v>6000</v>
      </c>
      <c r="BK33" s="178"/>
      <c r="BL33" s="178"/>
      <c r="BM33" s="178">
        <v>6300</v>
      </c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>
        <v>6300</v>
      </c>
      <c r="BY33" s="178"/>
      <c r="BZ33" s="178"/>
      <c r="CA33" s="178"/>
      <c r="CB33" s="178">
        <v>6300</v>
      </c>
      <c r="CC33" s="179"/>
      <c r="CD33" s="180">
        <v>68100</v>
      </c>
    </row>
    <row r="34" spans="1:82">
      <c r="A34" s="176" t="s">
        <v>154</v>
      </c>
      <c r="B34" s="177"/>
      <c r="C34" s="178"/>
      <c r="D34" s="178"/>
      <c r="E34" s="178"/>
      <c r="F34" s="178"/>
      <c r="G34" s="178">
        <v>7200</v>
      </c>
      <c r="H34" s="178"/>
      <c r="I34" s="178"/>
      <c r="J34" s="178"/>
      <c r="K34" s="178">
        <v>6300</v>
      </c>
      <c r="L34" s="178"/>
      <c r="M34" s="178">
        <v>2400</v>
      </c>
      <c r="N34" s="178"/>
      <c r="O34" s="178">
        <v>7800</v>
      </c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178">
        <v>7700</v>
      </c>
      <c r="AI34" s="178"/>
      <c r="AJ34" s="178"/>
      <c r="AK34" s="178">
        <v>7500</v>
      </c>
      <c r="AL34" s="178"/>
      <c r="AM34" s="178"/>
      <c r="AN34" s="178"/>
      <c r="AO34" s="178"/>
      <c r="AP34" s="178">
        <v>6300</v>
      </c>
      <c r="AQ34" s="178"/>
      <c r="AR34" s="178">
        <v>7200</v>
      </c>
      <c r="AS34" s="178"/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8"/>
      <c r="BE34" s="178"/>
      <c r="BF34" s="178"/>
      <c r="BG34" s="178"/>
      <c r="BH34" s="178"/>
      <c r="BI34" s="178"/>
      <c r="BJ34" s="178">
        <v>7200</v>
      </c>
      <c r="BK34" s="178"/>
      <c r="BL34" s="178"/>
      <c r="BM34" s="178">
        <v>7500</v>
      </c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>
        <v>7800</v>
      </c>
      <c r="BY34" s="178"/>
      <c r="BZ34" s="178"/>
      <c r="CA34" s="178"/>
      <c r="CB34" s="178">
        <v>7800</v>
      </c>
      <c r="CC34" s="179"/>
      <c r="CD34" s="180">
        <v>82700</v>
      </c>
    </row>
    <row r="35" spans="1:82">
      <c r="A35" s="176" t="s">
        <v>234</v>
      </c>
      <c r="B35" s="177"/>
      <c r="C35" s="178"/>
      <c r="D35" s="178"/>
      <c r="E35" s="178"/>
      <c r="F35" s="178"/>
      <c r="G35" s="178"/>
      <c r="H35" s="178"/>
      <c r="I35" s="178">
        <v>32000</v>
      </c>
      <c r="J35" s="178"/>
      <c r="K35" s="178"/>
      <c r="L35" s="178">
        <v>33000</v>
      </c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  <c r="CB35" s="178"/>
      <c r="CC35" s="179"/>
      <c r="CD35" s="180">
        <v>65000</v>
      </c>
    </row>
    <row r="36" spans="1:82">
      <c r="A36" s="176" t="s">
        <v>88</v>
      </c>
      <c r="B36" s="177"/>
      <c r="C36" s="178"/>
      <c r="D36" s="178"/>
      <c r="E36" s="178"/>
      <c r="F36" s="178"/>
      <c r="G36" s="178">
        <v>10500</v>
      </c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>
        <v>1000</v>
      </c>
      <c r="T36" s="178"/>
      <c r="U36" s="178"/>
      <c r="V36" s="178"/>
      <c r="W36" s="178"/>
      <c r="X36" s="178"/>
      <c r="Y36" s="178"/>
      <c r="Z36" s="178"/>
      <c r="AA36" s="178"/>
      <c r="AB36" s="178">
        <v>13500</v>
      </c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Q36" s="178"/>
      <c r="AR36" s="178">
        <v>10500</v>
      </c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178"/>
      <c r="BD36" s="178"/>
      <c r="BE36" s="178"/>
      <c r="BF36" s="178">
        <v>10500</v>
      </c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  <c r="CB36" s="178"/>
      <c r="CC36" s="179"/>
      <c r="CD36" s="180">
        <v>46000</v>
      </c>
    </row>
    <row r="37" spans="1:82">
      <c r="A37" s="176" t="s">
        <v>140</v>
      </c>
      <c r="B37" s="177"/>
      <c r="C37" s="178"/>
      <c r="D37" s="178"/>
      <c r="E37" s="178"/>
      <c r="F37" s="178"/>
      <c r="G37" s="178">
        <v>20300</v>
      </c>
      <c r="H37" s="178"/>
      <c r="I37" s="178"/>
      <c r="J37" s="178"/>
      <c r="K37" s="178">
        <v>33300</v>
      </c>
      <c r="L37" s="178"/>
      <c r="M37" s="178"/>
      <c r="N37" s="178"/>
      <c r="O37" s="178">
        <v>80100</v>
      </c>
      <c r="P37" s="178"/>
      <c r="Q37" s="178"/>
      <c r="R37" s="178"/>
      <c r="S37" s="178"/>
      <c r="T37" s="178"/>
      <c r="U37" s="178">
        <v>10000</v>
      </c>
      <c r="V37" s="178"/>
      <c r="W37" s="178"/>
      <c r="X37" s="178">
        <v>17000</v>
      </c>
      <c r="Y37" s="178"/>
      <c r="Z37" s="178"/>
      <c r="AA37" s="178"/>
      <c r="AB37" s="178">
        <v>27300</v>
      </c>
      <c r="AC37" s="178"/>
      <c r="AD37" s="178"/>
      <c r="AE37" s="178"/>
      <c r="AF37" s="178"/>
      <c r="AG37" s="178"/>
      <c r="AH37" s="178"/>
      <c r="AI37" s="178"/>
      <c r="AJ37" s="178">
        <v>45300</v>
      </c>
      <c r="AK37" s="178"/>
      <c r="AL37" s="178"/>
      <c r="AM37" s="178"/>
      <c r="AN37" s="178"/>
      <c r="AO37" s="178"/>
      <c r="AP37" s="178">
        <v>40800</v>
      </c>
      <c r="AQ37" s="178"/>
      <c r="AR37" s="178">
        <v>25100</v>
      </c>
      <c r="AS37" s="178"/>
      <c r="AT37" s="178"/>
      <c r="AU37" s="178"/>
      <c r="AV37" s="178"/>
      <c r="AW37" s="178">
        <v>4000</v>
      </c>
      <c r="AX37" s="178"/>
      <c r="AY37" s="178"/>
      <c r="AZ37" s="178"/>
      <c r="BA37" s="178"/>
      <c r="BB37" s="178"/>
      <c r="BC37" s="178"/>
      <c r="BD37" s="178"/>
      <c r="BE37" s="178"/>
      <c r="BF37" s="178">
        <v>30500</v>
      </c>
      <c r="BG37" s="178"/>
      <c r="BH37" s="178"/>
      <c r="BI37" s="178"/>
      <c r="BJ37" s="178"/>
      <c r="BK37" s="178"/>
      <c r="BL37" s="178"/>
      <c r="BM37" s="178">
        <v>51300</v>
      </c>
      <c r="BN37" s="178"/>
      <c r="BO37" s="178">
        <v>2000</v>
      </c>
      <c r="BP37" s="178"/>
      <c r="BQ37" s="178"/>
      <c r="BR37" s="178">
        <v>2000</v>
      </c>
      <c r="BS37" s="178"/>
      <c r="BT37" s="178">
        <v>51500</v>
      </c>
      <c r="BU37" s="178"/>
      <c r="BV37" s="178"/>
      <c r="BW37" s="178"/>
      <c r="BX37" s="178">
        <v>72600</v>
      </c>
      <c r="BY37" s="178"/>
      <c r="BZ37" s="178"/>
      <c r="CA37" s="178"/>
      <c r="CB37" s="178"/>
      <c r="CC37" s="179"/>
      <c r="CD37" s="180">
        <v>513100</v>
      </c>
    </row>
    <row r="38" spans="1:82">
      <c r="A38" s="176" t="s">
        <v>152</v>
      </c>
      <c r="B38" s="177"/>
      <c r="C38" s="178"/>
      <c r="D38" s="178"/>
      <c r="E38" s="178"/>
      <c r="F38" s="178"/>
      <c r="G38" s="178">
        <v>10500</v>
      </c>
      <c r="H38" s="178"/>
      <c r="I38" s="178"/>
      <c r="J38" s="178">
        <v>3500</v>
      </c>
      <c r="K38" s="178"/>
      <c r="L38" s="178"/>
      <c r="M38" s="178"/>
      <c r="N38" s="178">
        <v>3600</v>
      </c>
      <c r="O38" s="178"/>
      <c r="P38" s="178">
        <v>3500</v>
      </c>
      <c r="Q38" s="178">
        <v>3500</v>
      </c>
      <c r="R38" s="178"/>
      <c r="S38" s="178">
        <v>3500</v>
      </c>
      <c r="T38" s="178">
        <v>3500</v>
      </c>
      <c r="U38" s="178"/>
      <c r="V38" s="178"/>
      <c r="W38" s="178"/>
      <c r="X38" s="178"/>
      <c r="Y38" s="178"/>
      <c r="Z38" s="178">
        <v>3500</v>
      </c>
      <c r="AA38" s="178">
        <v>3500</v>
      </c>
      <c r="AB38" s="178"/>
      <c r="AC38" s="178"/>
      <c r="AD38" s="178"/>
      <c r="AE38" s="178"/>
      <c r="AF38" s="178"/>
      <c r="AG38" s="178">
        <v>3500</v>
      </c>
      <c r="AH38" s="178"/>
      <c r="AI38" s="178">
        <v>3500</v>
      </c>
      <c r="AJ38" s="178"/>
      <c r="AK38" s="178"/>
      <c r="AL38" s="178"/>
      <c r="AM38" s="178"/>
      <c r="AN38" s="178">
        <v>3500</v>
      </c>
      <c r="AO38" s="178">
        <v>3500</v>
      </c>
      <c r="AP38" s="178"/>
      <c r="AQ38" s="178">
        <v>3600</v>
      </c>
      <c r="AR38" s="178"/>
      <c r="AS38" s="178"/>
      <c r="AT38" s="178"/>
      <c r="AU38" s="178">
        <v>3500</v>
      </c>
      <c r="AV38" s="178">
        <v>3600</v>
      </c>
      <c r="AW38" s="178"/>
      <c r="AX38" s="178"/>
      <c r="AY38" s="178">
        <v>3500</v>
      </c>
      <c r="AZ38" s="178">
        <v>3500</v>
      </c>
      <c r="BA38" s="178">
        <v>3500</v>
      </c>
      <c r="BB38" s="178">
        <v>3600</v>
      </c>
      <c r="BC38" s="178">
        <v>3500</v>
      </c>
      <c r="BD38" s="178">
        <v>3500</v>
      </c>
      <c r="BE38" s="178"/>
      <c r="BF38" s="178"/>
      <c r="BG38" s="178"/>
      <c r="BH38" s="178"/>
      <c r="BI38" s="178">
        <v>3500</v>
      </c>
      <c r="BJ38" s="178"/>
      <c r="BK38" s="178">
        <v>3500</v>
      </c>
      <c r="BL38" s="178"/>
      <c r="BM38" s="178"/>
      <c r="BN38" s="178"/>
      <c r="BO38" s="178"/>
      <c r="BP38" s="178">
        <v>3500</v>
      </c>
      <c r="BQ38" s="178">
        <v>3500</v>
      </c>
      <c r="BR38" s="178"/>
      <c r="BS38" s="178"/>
      <c r="BT38" s="178"/>
      <c r="BU38" s="178"/>
      <c r="BV38" s="178">
        <v>3600</v>
      </c>
      <c r="BW38" s="178"/>
      <c r="BX38" s="178"/>
      <c r="BY38" s="178">
        <v>3600</v>
      </c>
      <c r="BZ38" s="178">
        <v>3600</v>
      </c>
      <c r="CA38" s="178">
        <v>3600</v>
      </c>
      <c r="CB38" s="178"/>
      <c r="CC38" s="179"/>
      <c r="CD38" s="180">
        <v>112800</v>
      </c>
    </row>
    <row r="39" spans="1:82">
      <c r="A39" s="176" t="s">
        <v>133</v>
      </c>
      <c r="B39" s="177"/>
      <c r="C39" s="178">
        <v>4200</v>
      </c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>
        <v>2000</v>
      </c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  <c r="CB39" s="178"/>
      <c r="CC39" s="179"/>
      <c r="CD39" s="180">
        <v>6200</v>
      </c>
    </row>
    <row r="40" spans="1:82">
      <c r="A40" s="176" t="s">
        <v>87</v>
      </c>
      <c r="B40" s="177"/>
      <c r="C40" s="178"/>
      <c r="D40" s="178"/>
      <c r="E40" s="178"/>
      <c r="F40" s="178"/>
      <c r="G40" s="178">
        <v>3300</v>
      </c>
      <c r="H40" s="178"/>
      <c r="I40" s="178"/>
      <c r="J40" s="178">
        <v>1100</v>
      </c>
      <c r="K40" s="178"/>
      <c r="L40" s="178"/>
      <c r="M40" s="178"/>
      <c r="N40" s="178">
        <v>1100</v>
      </c>
      <c r="O40" s="178"/>
      <c r="P40" s="178">
        <v>1100</v>
      </c>
      <c r="Q40" s="178">
        <v>1100</v>
      </c>
      <c r="R40" s="178"/>
      <c r="S40" s="178">
        <v>1100</v>
      </c>
      <c r="T40" s="178">
        <v>1100</v>
      </c>
      <c r="U40" s="178"/>
      <c r="V40" s="178"/>
      <c r="W40" s="178"/>
      <c r="X40" s="178"/>
      <c r="Y40" s="178"/>
      <c r="Z40" s="178">
        <v>1100</v>
      </c>
      <c r="AA40" s="178">
        <v>1100</v>
      </c>
      <c r="AB40" s="178"/>
      <c r="AC40" s="178"/>
      <c r="AD40" s="178"/>
      <c r="AE40" s="178"/>
      <c r="AF40" s="178"/>
      <c r="AG40" s="178">
        <v>1100</v>
      </c>
      <c r="AH40" s="178"/>
      <c r="AI40" s="178">
        <v>1100</v>
      </c>
      <c r="AJ40" s="178"/>
      <c r="AK40" s="178"/>
      <c r="AL40" s="178"/>
      <c r="AM40" s="178"/>
      <c r="AN40" s="178">
        <v>1100</v>
      </c>
      <c r="AO40" s="178">
        <v>1100</v>
      </c>
      <c r="AP40" s="178"/>
      <c r="AQ40" s="178">
        <v>1100</v>
      </c>
      <c r="AR40" s="178"/>
      <c r="AS40" s="178"/>
      <c r="AT40" s="178"/>
      <c r="AU40" s="178">
        <v>1100</v>
      </c>
      <c r="AV40" s="178">
        <v>1100</v>
      </c>
      <c r="AW40" s="178"/>
      <c r="AX40" s="178"/>
      <c r="AY40" s="178">
        <v>1100</v>
      </c>
      <c r="AZ40" s="178">
        <v>1100</v>
      </c>
      <c r="BA40" s="178">
        <v>1100</v>
      </c>
      <c r="BB40" s="178">
        <v>1100</v>
      </c>
      <c r="BC40" s="178">
        <v>1100</v>
      </c>
      <c r="BD40" s="178">
        <v>1100</v>
      </c>
      <c r="BE40" s="178"/>
      <c r="BF40" s="178"/>
      <c r="BG40" s="178"/>
      <c r="BH40" s="178"/>
      <c r="BI40" s="178">
        <v>1100</v>
      </c>
      <c r="BJ40" s="178"/>
      <c r="BK40" s="178">
        <v>1100</v>
      </c>
      <c r="BL40" s="178"/>
      <c r="BM40" s="178"/>
      <c r="BN40" s="178"/>
      <c r="BO40" s="178"/>
      <c r="BP40" s="178">
        <v>1100</v>
      </c>
      <c r="BQ40" s="178">
        <v>1100</v>
      </c>
      <c r="BR40" s="178"/>
      <c r="BS40" s="178"/>
      <c r="BT40" s="178"/>
      <c r="BU40" s="178"/>
      <c r="BV40" s="178">
        <v>1100</v>
      </c>
      <c r="BW40" s="178"/>
      <c r="BX40" s="178"/>
      <c r="BY40" s="178">
        <v>1100</v>
      </c>
      <c r="BZ40" s="178">
        <v>1100</v>
      </c>
      <c r="CA40" s="178">
        <v>1100</v>
      </c>
      <c r="CB40" s="178"/>
      <c r="CC40" s="179"/>
      <c r="CD40" s="180">
        <v>35200</v>
      </c>
    </row>
    <row r="41" spans="1:82">
      <c r="A41" s="176" t="s">
        <v>129</v>
      </c>
      <c r="B41" s="177"/>
      <c r="C41" s="178"/>
      <c r="D41" s="178"/>
      <c r="E41" s="178"/>
      <c r="F41" s="178"/>
      <c r="G41" s="178">
        <v>1500</v>
      </c>
      <c r="H41" s="178"/>
      <c r="I41" s="178"/>
      <c r="J41" s="178">
        <v>500</v>
      </c>
      <c r="K41" s="178"/>
      <c r="L41" s="178"/>
      <c r="M41" s="178"/>
      <c r="N41" s="178">
        <v>500</v>
      </c>
      <c r="O41" s="178"/>
      <c r="P41" s="178">
        <v>500</v>
      </c>
      <c r="Q41" s="178">
        <v>500</v>
      </c>
      <c r="R41" s="178"/>
      <c r="S41" s="178">
        <v>500</v>
      </c>
      <c r="T41" s="178">
        <v>500</v>
      </c>
      <c r="U41" s="178"/>
      <c r="V41" s="178"/>
      <c r="W41" s="178"/>
      <c r="X41" s="178"/>
      <c r="Y41" s="178"/>
      <c r="Z41" s="178">
        <v>500</v>
      </c>
      <c r="AA41" s="178">
        <v>500</v>
      </c>
      <c r="AB41" s="178"/>
      <c r="AC41" s="178"/>
      <c r="AD41" s="178"/>
      <c r="AE41" s="178"/>
      <c r="AF41" s="178"/>
      <c r="AG41" s="178">
        <v>500</v>
      </c>
      <c r="AH41" s="178"/>
      <c r="AI41" s="178">
        <v>500</v>
      </c>
      <c r="AJ41" s="178"/>
      <c r="AK41" s="178"/>
      <c r="AL41" s="178"/>
      <c r="AM41" s="178"/>
      <c r="AN41" s="178">
        <v>500</v>
      </c>
      <c r="AO41" s="178">
        <v>500</v>
      </c>
      <c r="AP41" s="178"/>
      <c r="AQ41" s="178">
        <v>500</v>
      </c>
      <c r="AR41" s="178"/>
      <c r="AS41" s="178"/>
      <c r="AT41" s="178"/>
      <c r="AU41" s="178">
        <v>500</v>
      </c>
      <c r="AV41" s="178">
        <v>500</v>
      </c>
      <c r="AW41" s="178">
        <v>500</v>
      </c>
      <c r="AX41" s="178"/>
      <c r="AY41" s="178">
        <v>500</v>
      </c>
      <c r="AZ41" s="178">
        <v>500</v>
      </c>
      <c r="BA41" s="178">
        <v>500</v>
      </c>
      <c r="BB41" s="178">
        <v>500</v>
      </c>
      <c r="BC41" s="178">
        <v>500</v>
      </c>
      <c r="BD41" s="178">
        <v>500</v>
      </c>
      <c r="BE41" s="178"/>
      <c r="BF41" s="178"/>
      <c r="BG41" s="178"/>
      <c r="BH41" s="178"/>
      <c r="BI41" s="178">
        <v>500</v>
      </c>
      <c r="BJ41" s="178"/>
      <c r="BK41" s="178">
        <v>500</v>
      </c>
      <c r="BL41" s="178"/>
      <c r="BM41" s="178"/>
      <c r="BN41" s="178"/>
      <c r="BO41" s="178"/>
      <c r="BP41" s="178">
        <v>500</v>
      </c>
      <c r="BQ41" s="178">
        <v>500</v>
      </c>
      <c r="BR41" s="178"/>
      <c r="BS41" s="178"/>
      <c r="BT41" s="178"/>
      <c r="BU41" s="178"/>
      <c r="BV41" s="178">
        <v>500</v>
      </c>
      <c r="BW41" s="178"/>
      <c r="BX41" s="178"/>
      <c r="BY41" s="178">
        <v>500</v>
      </c>
      <c r="BZ41" s="178">
        <v>500</v>
      </c>
      <c r="CA41" s="178">
        <v>500</v>
      </c>
      <c r="CB41" s="178"/>
      <c r="CC41" s="179"/>
      <c r="CD41" s="180">
        <v>16500</v>
      </c>
    </row>
    <row r="42" spans="1:82">
      <c r="A42" s="176" t="s">
        <v>292</v>
      </c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>
        <v>2800</v>
      </c>
      <c r="O42" s="178"/>
      <c r="P42" s="178"/>
      <c r="Q42" s="178">
        <v>2700</v>
      </c>
      <c r="R42" s="178"/>
      <c r="S42" s="178"/>
      <c r="T42" s="178">
        <v>2700</v>
      </c>
      <c r="U42" s="178"/>
      <c r="V42" s="178"/>
      <c r="W42" s="178"/>
      <c r="X42" s="178"/>
      <c r="Y42" s="178"/>
      <c r="Z42" s="178"/>
      <c r="AA42" s="178">
        <v>2700</v>
      </c>
      <c r="AB42" s="178"/>
      <c r="AC42" s="178"/>
      <c r="AD42" s="178"/>
      <c r="AE42" s="178"/>
      <c r="AF42" s="178"/>
      <c r="AG42" s="178"/>
      <c r="AH42" s="178"/>
      <c r="AI42" s="178">
        <v>2700</v>
      </c>
      <c r="AJ42" s="178"/>
      <c r="AK42" s="178"/>
      <c r="AL42" s="178"/>
      <c r="AM42" s="178"/>
      <c r="AN42" s="178"/>
      <c r="AO42" s="178">
        <v>2700</v>
      </c>
      <c r="AP42" s="178"/>
      <c r="AQ42" s="178">
        <v>2800</v>
      </c>
      <c r="AR42" s="178"/>
      <c r="AS42" s="178"/>
      <c r="AT42" s="178"/>
      <c r="AU42" s="178"/>
      <c r="AV42" s="178">
        <v>2800</v>
      </c>
      <c r="AW42" s="178"/>
      <c r="AX42" s="178"/>
      <c r="AY42" s="178"/>
      <c r="AZ42" s="178">
        <v>2700</v>
      </c>
      <c r="BA42" s="178"/>
      <c r="BB42" s="178">
        <v>2800</v>
      </c>
      <c r="BC42" s="178"/>
      <c r="BD42" s="178">
        <v>2700</v>
      </c>
      <c r="BE42" s="178"/>
      <c r="BF42" s="178"/>
      <c r="BG42" s="178"/>
      <c r="BH42" s="178"/>
      <c r="BI42" s="178"/>
      <c r="BJ42" s="178"/>
      <c r="BK42" s="178">
        <v>2700</v>
      </c>
      <c r="BL42" s="178"/>
      <c r="BM42" s="178"/>
      <c r="BN42" s="178"/>
      <c r="BO42" s="178"/>
      <c r="BP42" s="178"/>
      <c r="BQ42" s="178">
        <v>2700</v>
      </c>
      <c r="BR42" s="178"/>
      <c r="BS42" s="178"/>
      <c r="BT42" s="178"/>
      <c r="BU42" s="178"/>
      <c r="BV42" s="178">
        <v>2800</v>
      </c>
      <c r="BW42" s="178"/>
      <c r="BX42" s="178"/>
      <c r="BY42" s="178">
        <v>2800</v>
      </c>
      <c r="BZ42" s="178">
        <v>2800</v>
      </c>
      <c r="CA42" s="178">
        <v>2800</v>
      </c>
      <c r="CB42" s="178"/>
      <c r="CC42" s="179"/>
      <c r="CD42" s="180">
        <v>46700</v>
      </c>
    </row>
    <row r="43" spans="1:82">
      <c r="A43" s="176" t="s">
        <v>132</v>
      </c>
      <c r="B43" s="177"/>
      <c r="C43" s="178">
        <v>5400</v>
      </c>
      <c r="D43" s="178"/>
      <c r="E43" s="178"/>
      <c r="F43" s="178"/>
      <c r="G43" s="178"/>
      <c r="H43" s="178"/>
      <c r="I43" s="178"/>
      <c r="J43" s="178">
        <v>3800</v>
      </c>
      <c r="K43" s="178"/>
      <c r="L43" s="178"/>
      <c r="M43" s="178"/>
      <c r="N43" s="178">
        <v>3900</v>
      </c>
      <c r="O43" s="178"/>
      <c r="P43" s="178">
        <v>2700</v>
      </c>
      <c r="Q43" s="178">
        <v>3800</v>
      </c>
      <c r="R43" s="178"/>
      <c r="S43" s="178">
        <v>3700</v>
      </c>
      <c r="T43" s="178">
        <v>3800</v>
      </c>
      <c r="U43" s="178"/>
      <c r="V43" s="178"/>
      <c r="W43" s="178"/>
      <c r="X43" s="178"/>
      <c r="Y43" s="178"/>
      <c r="Z43" s="178">
        <v>3700</v>
      </c>
      <c r="AA43" s="178">
        <v>3800</v>
      </c>
      <c r="AB43" s="178"/>
      <c r="AC43" s="178"/>
      <c r="AD43" s="178"/>
      <c r="AE43" s="178"/>
      <c r="AF43" s="178"/>
      <c r="AG43" s="178">
        <v>3700</v>
      </c>
      <c r="AH43" s="178"/>
      <c r="AI43" s="178">
        <v>3800</v>
      </c>
      <c r="AJ43" s="178"/>
      <c r="AK43" s="178"/>
      <c r="AL43" s="178"/>
      <c r="AM43" s="178"/>
      <c r="AN43" s="178">
        <v>2700</v>
      </c>
      <c r="AO43" s="178">
        <v>3800</v>
      </c>
      <c r="AP43" s="178"/>
      <c r="AQ43" s="178">
        <v>3900</v>
      </c>
      <c r="AR43" s="178"/>
      <c r="AS43" s="178"/>
      <c r="AT43" s="178">
        <v>2700</v>
      </c>
      <c r="AU43" s="178">
        <v>3800</v>
      </c>
      <c r="AV43" s="178">
        <v>3900</v>
      </c>
      <c r="AW43" s="178">
        <v>2600</v>
      </c>
      <c r="AX43" s="178"/>
      <c r="AY43" s="178">
        <v>3700</v>
      </c>
      <c r="AZ43" s="178">
        <v>3800</v>
      </c>
      <c r="BA43" s="178">
        <v>3800</v>
      </c>
      <c r="BB43" s="178">
        <v>3900</v>
      </c>
      <c r="BC43" s="178">
        <v>3700</v>
      </c>
      <c r="BD43" s="178">
        <v>3800</v>
      </c>
      <c r="BE43" s="178"/>
      <c r="BF43" s="178"/>
      <c r="BG43" s="178"/>
      <c r="BH43" s="178"/>
      <c r="BI43" s="178">
        <v>6700</v>
      </c>
      <c r="BJ43" s="178"/>
      <c r="BK43" s="178">
        <v>3800</v>
      </c>
      <c r="BL43" s="178"/>
      <c r="BM43" s="178"/>
      <c r="BN43" s="178"/>
      <c r="BO43" s="178">
        <v>1000</v>
      </c>
      <c r="BP43" s="178">
        <v>2700</v>
      </c>
      <c r="BQ43" s="178">
        <v>3800</v>
      </c>
      <c r="BR43" s="178"/>
      <c r="BS43" s="178"/>
      <c r="BT43" s="178"/>
      <c r="BU43" s="178"/>
      <c r="BV43" s="178">
        <v>3900</v>
      </c>
      <c r="BW43" s="178"/>
      <c r="BX43" s="178"/>
      <c r="BY43" s="178">
        <v>3900</v>
      </c>
      <c r="BZ43" s="178">
        <v>3900</v>
      </c>
      <c r="CA43" s="178">
        <v>3900</v>
      </c>
      <c r="CB43" s="178"/>
      <c r="CC43" s="179"/>
      <c r="CD43" s="180">
        <v>121800</v>
      </c>
    </row>
    <row r="44" spans="1:82">
      <c r="A44" s="176" t="s">
        <v>141</v>
      </c>
      <c r="B44" s="177"/>
      <c r="C44" s="178"/>
      <c r="D44" s="178"/>
      <c r="E44" s="178">
        <v>10800</v>
      </c>
      <c r="F44" s="178"/>
      <c r="G44" s="178"/>
      <c r="H44" s="178"/>
      <c r="I44" s="178"/>
      <c r="J44" s="178">
        <v>1900</v>
      </c>
      <c r="K44" s="178"/>
      <c r="L44" s="178"/>
      <c r="M44" s="178"/>
      <c r="N44" s="178">
        <v>2000</v>
      </c>
      <c r="O44" s="178"/>
      <c r="P44" s="178"/>
      <c r="Q44" s="178">
        <v>1900</v>
      </c>
      <c r="R44" s="178"/>
      <c r="S44" s="178">
        <v>1800</v>
      </c>
      <c r="T44" s="178">
        <v>1900</v>
      </c>
      <c r="U44" s="178"/>
      <c r="V44" s="178"/>
      <c r="W44" s="178"/>
      <c r="X44" s="178"/>
      <c r="Y44" s="178"/>
      <c r="Z44" s="178">
        <v>1800</v>
      </c>
      <c r="AA44" s="178">
        <v>1900</v>
      </c>
      <c r="AB44" s="178"/>
      <c r="AC44" s="178"/>
      <c r="AD44" s="178"/>
      <c r="AE44" s="178"/>
      <c r="AF44" s="178"/>
      <c r="AG44" s="178">
        <v>1800</v>
      </c>
      <c r="AH44" s="178"/>
      <c r="AI44" s="178">
        <v>1900</v>
      </c>
      <c r="AJ44" s="178"/>
      <c r="AK44" s="178"/>
      <c r="AL44" s="178"/>
      <c r="AM44" s="178"/>
      <c r="AN44" s="178"/>
      <c r="AO44" s="178">
        <v>1900</v>
      </c>
      <c r="AP44" s="178"/>
      <c r="AQ44" s="178">
        <v>2000</v>
      </c>
      <c r="AR44" s="178"/>
      <c r="AS44" s="178"/>
      <c r="AT44" s="178"/>
      <c r="AU44" s="178">
        <v>1900</v>
      </c>
      <c r="AV44" s="178">
        <v>2000</v>
      </c>
      <c r="AW44" s="178">
        <v>1700</v>
      </c>
      <c r="AX44" s="178"/>
      <c r="AY44" s="178">
        <v>1800</v>
      </c>
      <c r="AZ44" s="178">
        <v>1900</v>
      </c>
      <c r="BA44" s="178">
        <v>1900</v>
      </c>
      <c r="BB44" s="178">
        <v>2000</v>
      </c>
      <c r="BC44" s="178">
        <v>1800</v>
      </c>
      <c r="BD44" s="178">
        <v>1900</v>
      </c>
      <c r="BE44" s="178"/>
      <c r="BF44" s="178"/>
      <c r="BG44" s="178"/>
      <c r="BH44" s="178"/>
      <c r="BI44" s="178">
        <v>1800</v>
      </c>
      <c r="BJ44" s="178"/>
      <c r="BK44" s="178">
        <v>1900</v>
      </c>
      <c r="BL44" s="178"/>
      <c r="BM44" s="178"/>
      <c r="BN44" s="178"/>
      <c r="BO44" s="178"/>
      <c r="BP44" s="178"/>
      <c r="BQ44" s="178">
        <v>1900</v>
      </c>
      <c r="BR44" s="178"/>
      <c r="BS44" s="178"/>
      <c r="BT44" s="178"/>
      <c r="BU44" s="178"/>
      <c r="BV44" s="178">
        <v>2000</v>
      </c>
      <c r="BW44" s="178"/>
      <c r="BX44" s="178"/>
      <c r="BY44" s="178">
        <v>2000</v>
      </c>
      <c r="BZ44" s="178">
        <v>2000</v>
      </c>
      <c r="CA44" s="178">
        <v>2000</v>
      </c>
      <c r="CB44" s="178"/>
      <c r="CC44" s="179"/>
      <c r="CD44" s="180">
        <v>62100</v>
      </c>
    </row>
    <row r="45" spans="1:82">
      <c r="A45" s="176" t="s">
        <v>222</v>
      </c>
      <c r="B45" s="177"/>
      <c r="C45" s="178"/>
      <c r="D45" s="178"/>
      <c r="E45" s="178"/>
      <c r="F45" s="178"/>
      <c r="G45" s="178"/>
      <c r="H45" s="178">
        <v>13500</v>
      </c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>
        <v>4500</v>
      </c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  <c r="CB45" s="178"/>
      <c r="CC45" s="179"/>
      <c r="CD45" s="180">
        <v>18000</v>
      </c>
    </row>
    <row r="46" spans="1:82">
      <c r="A46" s="176" t="s">
        <v>321</v>
      </c>
      <c r="B46" s="177"/>
      <c r="C46" s="178"/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>
        <v>2000</v>
      </c>
      <c r="O46" s="178"/>
      <c r="P46" s="178"/>
      <c r="Q46" s="178"/>
      <c r="R46" s="178"/>
      <c r="S46" s="178"/>
      <c r="T46" s="178"/>
      <c r="U46" s="178"/>
      <c r="V46" s="178">
        <v>5000</v>
      </c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>
        <v>4500</v>
      </c>
      <c r="AL46" s="178"/>
      <c r="AM46" s="178"/>
      <c r="AN46" s="178"/>
      <c r="AO46" s="178"/>
      <c r="AP46" s="178"/>
      <c r="AQ46" s="178">
        <v>2000</v>
      </c>
      <c r="AR46" s="178"/>
      <c r="AS46" s="178"/>
      <c r="AT46" s="178"/>
      <c r="AU46" s="178"/>
      <c r="AV46" s="178">
        <v>2000</v>
      </c>
      <c r="AW46" s="178"/>
      <c r="AX46" s="178"/>
      <c r="AY46" s="178"/>
      <c r="AZ46" s="178"/>
      <c r="BA46" s="178"/>
      <c r="BB46" s="178">
        <v>2000</v>
      </c>
      <c r="BC46" s="178"/>
      <c r="BD46" s="178"/>
      <c r="BE46" s="178"/>
      <c r="BF46" s="178"/>
      <c r="BG46" s="178"/>
      <c r="BH46" s="178"/>
      <c r="BI46" s="178"/>
      <c r="BJ46" s="178"/>
      <c r="BK46" s="178"/>
      <c r="BL46" s="178"/>
      <c r="BM46" s="178">
        <v>4500</v>
      </c>
      <c r="BN46" s="178"/>
      <c r="BO46" s="178"/>
      <c r="BP46" s="178"/>
      <c r="BQ46" s="178"/>
      <c r="BR46" s="178"/>
      <c r="BS46" s="178"/>
      <c r="BT46" s="178"/>
      <c r="BU46" s="178"/>
      <c r="BV46" s="178">
        <v>2000</v>
      </c>
      <c r="BW46" s="178"/>
      <c r="BX46" s="178"/>
      <c r="BY46" s="178">
        <v>2000</v>
      </c>
      <c r="BZ46" s="178">
        <v>2000</v>
      </c>
      <c r="CA46" s="178">
        <v>2000</v>
      </c>
      <c r="CB46" s="178"/>
      <c r="CC46" s="179"/>
      <c r="CD46" s="180">
        <v>30000</v>
      </c>
    </row>
    <row r="47" spans="1:82">
      <c r="A47" s="176" t="s">
        <v>175</v>
      </c>
      <c r="B47" s="177"/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>
        <v>2700</v>
      </c>
      <c r="AC47" s="178"/>
      <c r="AD47" s="178"/>
      <c r="AE47" s="178">
        <v>8100</v>
      </c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>
        <v>2700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  <c r="CB47" s="178"/>
      <c r="CC47" s="179"/>
      <c r="CD47" s="180">
        <v>13500</v>
      </c>
    </row>
    <row r="48" spans="1:82">
      <c r="A48" s="176" t="s">
        <v>177</v>
      </c>
      <c r="B48" s="177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>
        <v>2700</v>
      </c>
      <c r="AC48" s="178"/>
      <c r="AD48" s="178"/>
      <c r="AE48" s="178">
        <v>8100</v>
      </c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8"/>
      <c r="AQ48" s="178"/>
      <c r="AR48" s="178"/>
      <c r="AS48" s="178"/>
      <c r="AT48" s="178"/>
      <c r="AU48" s="178"/>
      <c r="AV48" s="178"/>
      <c r="AW48" s="178"/>
      <c r="AX48" s="178"/>
      <c r="AY48" s="178"/>
      <c r="AZ48" s="178"/>
      <c r="BA48" s="178"/>
      <c r="BB48" s="178"/>
      <c r="BC48" s="178"/>
      <c r="BD48" s="178"/>
      <c r="BE48" s="178"/>
      <c r="BF48" s="178">
        <v>2700</v>
      </c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  <c r="CB48" s="178"/>
      <c r="CC48" s="179"/>
      <c r="CD48" s="180">
        <v>13500</v>
      </c>
    </row>
    <row r="49" spans="1:82">
      <c r="A49" s="176" t="s">
        <v>207</v>
      </c>
      <c r="B49" s="177"/>
      <c r="C49" s="178"/>
      <c r="D49" s="178"/>
      <c r="E49" s="178"/>
      <c r="F49" s="178"/>
      <c r="G49" s="178"/>
      <c r="H49" s="178"/>
      <c r="I49" s="178"/>
      <c r="J49" s="178">
        <v>8000</v>
      </c>
      <c r="K49" s="178"/>
      <c r="L49" s="178"/>
      <c r="M49" s="178"/>
      <c r="N49" s="178"/>
      <c r="O49" s="178">
        <v>27000</v>
      </c>
      <c r="P49" s="178"/>
      <c r="Q49" s="178">
        <v>9000</v>
      </c>
      <c r="R49" s="178"/>
      <c r="S49" s="178">
        <v>3000</v>
      </c>
      <c r="T49" s="178">
        <v>9000</v>
      </c>
      <c r="U49" s="178"/>
      <c r="V49" s="178"/>
      <c r="W49" s="178"/>
      <c r="X49" s="178"/>
      <c r="Y49" s="178"/>
      <c r="Z49" s="178">
        <v>8000</v>
      </c>
      <c r="AA49" s="178">
        <v>9000</v>
      </c>
      <c r="AB49" s="178"/>
      <c r="AC49" s="178"/>
      <c r="AD49" s="178"/>
      <c r="AE49" s="178"/>
      <c r="AF49" s="178"/>
      <c r="AG49" s="178">
        <v>8000</v>
      </c>
      <c r="AH49" s="178"/>
      <c r="AI49" s="178">
        <v>9000</v>
      </c>
      <c r="AJ49" s="178"/>
      <c r="AK49" s="178"/>
      <c r="AL49" s="178"/>
      <c r="AM49" s="178"/>
      <c r="AN49" s="178"/>
      <c r="AO49" s="178">
        <v>9000</v>
      </c>
      <c r="AP49" s="178"/>
      <c r="AQ49" s="178">
        <v>9000</v>
      </c>
      <c r="AR49" s="178"/>
      <c r="AS49" s="178"/>
      <c r="AT49" s="178"/>
      <c r="AU49" s="178">
        <v>8000</v>
      </c>
      <c r="AV49" s="178"/>
      <c r="AW49" s="178"/>
      <c r="AX49" s="178"/>
      <c r="AY49" s="178">
        <v>8000</v>
      </c>
      <c r="AZ49" s="178">
        <v>9000</v>
      </c>
      <c r="BA49" s="178">
        <v>8000</v>
      </c>
      <c r="BB49" s="178"/>
      <c r="BC49" s="178"/>
      <c r="BD49" s="178">
        <v>9000</v>
      </c>
      <c r="BE49" s="178"/>
      <c r="BF49" s="178"/>
      <c r="BG49" s="178"/>
      <c r="BH49" s="178"/>
      <c r="BI49" s="178"/>
      <c r="BJ49" s="178"/>
      <c r="BK49" s="178">
        <v>9000</v>
      </c>
      <c r="BL49" s="178"/>
      <c r="BM49" s="178"/>
      <c r="BN49" s="178"/>
      <c r="BO49" s="178"/>
      <c r="BP49" s="178"/>
      <c r="BQ49" s="178">
        <v>9000</v>
      </c>
      <c r="BR49" s="178"/>
      <c r="BS49" s="178"/>
      <c r="BT49" s="178"/>
      <c r="BU49" s="178"/>
      <c r="BV49" s="178">
        <v>9000</v>
      </c>
      <c r="BW49" s="178"/>
      <c r="BX49" s="178"/>
      <c r="BY49" s="178">
        <v>9000</v>
      </c>
      <c r="BZ49" s="178">
        <v>9000</v>
      </c>
      <c r="CA49" s="178">
        <v>9000</v>
      </c>
      <c r="CB49" s="178"/>
      <c r="CC49" s="179"/>
      <c r="CD49" s="180">
        <v>204000</v>
      </c>
    </row>
    <row r="50" spans="1:82">
      <c r="A50" s="176" t="s">
        <v>81</v>
      </c>
      <c r="B50" s="177"/>
      <c r="C50" s="178"/>
      <c r="D50" s="178"/>
      <c r="E50" s="178"/>
      <c r="F50" s="178"/>
      <c r="G50" s="178">
        <v>5400</v>
      </c>
      <c r="H50" s="178"/>
      <c r="I50" s="178"/>
      <c r="J50" s="178">
        <v>1800</v>
      </c>
      <c r="K50" s="178"/>
      <c r="L50" s="178"/>
      <c r="M50" s="178"/>
      <c r="N50" s="178">
        <v>1800</v>
      </c>
      <c r="O50" s="178"/>
      <c r="P50" s="178">
        <v>1800</v>
      </c>
      <c r="Q50" s="178">
        <v>1800</v>
      </c>
      <c r="R50" s="178"/>
      <c r="S50" s="178">
        <v>1800</v>
      </c>
      <c r="T50" s="178">
        <v>1800</v>
      </c>
      <c r="U50" s="178"/>
      <c r="V50" s="178"/>
      <c r="W50" s="178"/>
      <c r="X50" s="178"/>
      <c r="Y50" s="178"/>
      <c r="Z50" s="178">
        <v>1800</v>
      </c>
      <c r="AA50" s="178">
        <v>1800</v>
      </c>
      <c r="AB50" s="178"/>
      <c r="AC50" s="178"/>
      <c r="AD50" s="178"/>
      <c r="AE50" s="178"/>
      <c r="AF50" s="178"/>
      <c r="AG50" s="178">
        <v>1800</v>
      </c>
      <c r="AH50" s="178"/>
      <c r="AI50" s="178">
        <v>1800</v>
      </c>
      <c r="AJ50" s="178"/>
      <c r="AK50" s="178"/>
      <c r="AL50" s="178"/>
      <c r="AM50" s="178"/>
      <c r="AN50" s="178">
        <v>1800</v>
      </c>
      <c r="AO50" s="178">
        <v>1800</v>
      </c>
      <c r="AP50" s="178"/>
      <c r="AQ50" s="178">
        <v>1800</v>
      </c>
      <c r="AR50" s="178"/>
      <c r="AS50" s="178"/>
      <c r="AT50" s="178"/>
      <c r="AU50" s="178">
        <v>1800</v>
      </c>
      <c r="AV50" s="178">
        <v>1800</v>
      </c>
      <c r="AW50" s="178">
        <v>1800</v>
      </c>
      <c r="AX50" s="178"/>
      <c r="AY50" s="178">
        <v>1800</v>
      </c>
      <c r="AZ50" s="178">
        <v>1800</v>
      </c>
      <c r="BA50" s="178">
        <v>1800</v>
      </c>
      <c r="BB50" s="178">
        <v>1800</v>
      </c>
      <c r="BC50" s="178">
        <v>1800</v>
      </c>
      <c r="BD50" s="178">
        <v>1800</v>
      </c>
      <c r="BE50" s="178"/>
      <c r="BF50" s="178"/>
      <c r="BG50" s="178"/>
      <c r="BH50" s="178"/>
      <c r="BI50" s="178">
        <v>1800</v>
      </c>
      <c r="BJ50" s="178"/>
      <c r="BK50" s="178">
        <v>1800</v>
      </c>
      <c r="BL50" s="178"/>
      <c r="BM50" s="178"/>
      <c r="BN50" s="178"/>
      <c r="BO50" s="178"/>
      <c r="BP50" s="178">
        <v>1800</v>
      </c>
      <c r="BQ50" s="178">
        <v>1800</v>
      </c>
      <c r="BR50" s="178"/>
      <c r="BS50" s="178"/>
      <c r="BT50" s="178"/>
      <c r="BU50" s="178"/>
      <c r="BV50" s="178">
        <v>1800</v>
      </c>
      <c r="BW50" s="178"/>
      <c r="BX50" s="178"/>
      <c r="BY50" s="178">
        <v>1800</v>
      </c>
      <c r="BZ50" s="178">
        <v>1800</v>
      </c>
      <c r="CA50" s="178">
        <v>1800</v>
      </c>
      <c r="CB50" s="178"/>
      <c r="CC50" s="179"/>
      <c r="CD50" s="180">
        <v>59400</v>
      </c>
    </row>
    <row r="51" spans="1:82">
      <c r="A51" s="176" t="s">
        <v>137</v>
      </c>
      <c r="B51" s="177"/>
      <c r="C51" s="178"/>
      <c r="D51" s="178"/>
      <c r="E51" s="178"/>
      <c r="F51" s="178"/>
      <c r="G51" s="178">
        <v>11700</v>
      </c>
      <c r="H51" s="178"/>
      <c r="I51" s="178"/>
      <c r="J51" s="178">
        <v>4000</v>
      </c>
      <c r="K51" s="178"/>
      <c r="L51" s="178"/>
      <c r="M51" s="178"/>
      <c r="N51" s="178">
        <v>4200</v>
      </c>
      <c r="O51" s="178"/>
      <c r="P51" s="178">
        <v>3900</v>
      </c>
      <c r="Q51" s="178">
        <v>4000</v>
      </c>
      <c r="R51" s="178"/>
      <c r="S51" s="178">
        <v>3900</v>
      </c>
      <c r="T51" s="178">
        <v>4000</v>
      </c>
      <c r="U51" s="178"/>
      <c r="V51" s="178"/>
      <c r="W51" s="178"/>
      <c r="X51" s="178"/>
      <c r="Y51" s="178"/>
      <c r="Z51" s="178">
        <v>3900</v>
      </c>
      <c r="AA51" s="178">
        <v>4000</v>
      </c>
      <c r="AB51" s="178"/>
      <c r="AC51" s="178"/>
      <c r="AD51" s="178"/>
      <c r="AE51" s="178"/>
      <c r="AF51" s="178"/>
      <c r="AG51" s="178">
        <v>3900</v>
      </c>
      <c r="AH51" s="178"/>
      <c r="AI51" s="178">
        <v>4000</v>
      </c>
      <c r="AJ51" s="178"/>
      <c r="AK51" s="178"/>
      <c r="AL51" s="178"/>
      <c r="AM51" s="178"/>
      <c r="AN51" s="178">
        <v>3900</v>
      </c>
      <c r="AO51" s="178">
        <v>4000</v>
      </c>
      <c r="AP51" s="178"/>
      <c r="AQ51" s="178">
        <v>4200</v>
      </c>
      <c r="AR51" s="178"/>
      <c r="AS51" s="178"/>
      <c r="AT51" s="178"/>
      <c r="AU51" s="178">
        <v>4000</v>
      </c>
      <c r="AV51" s="178">
        <v>4200</v>
      </c>
      <c r="AW51" s="178">
        <v>3900</v>
      </c>
      <c r="AX51" s="178"/>
      <c r="AY51" s="178">
        <v>3900</v>
      </c>
      <c r="AZ51" s="178">
        <v>4000</v>
      </c>
      <c r="BA51" s="178">
        <v>4000</v>
      </c>
      <c r="BB51" s="178">
        <v>4200</v>
      </c>
      <c r="BC51" s="178">
        <v>3900</v>
      </c>
      <c r="BD51" s="178">
        <v>4000</v>
      </c>
      <c r="BE51" s="178"/>
      <c r="BF51" s="178"/>
      <c r="BG51" s="178"/>
      <c r="BH51" s="178"/>
      <c r="BI51" s="178">
        <v>3900</v>
      </c>
      <c r="BJ51" s="178"/>
      <c r="BK51" s="178">
        <v>4000</v>
      </c>
      <c r="BL51" s="178"/>
      <c r="BM51" s="178"/>
      <c r="BN51" s="178"/>
      <c r="BO51" s="178"/>
      <c r="BP51" s="178">
        <v>3900</v>
      </c>
      <c r="BQ51" s="178">
        <v>4000</v>
      </c>
      <c r="BR51" s="178"/>
      <c r="BS51" s="178"/>
      <c r="BT51" s="178"/>
      <c r="BU51" s="178"/>
      <c r="BV51" s="178">
        <v>4200</v>
      </c>
      <c r="BW51" s="178"/>
      <c r="BX51" s="178"/>
      <c r="BY51" s="178">
        <v>4200</v>
      </c>
      <c r="BZ51" s="178">
        <v>4200</v>
      </c>
      <c r="CA51" s="178">
        <v>4200</v>
      </c>
      <c r="CB51" s="178"/>
      <c r="CC51" s="179"/>
      <c r="CD51" s="180">
        <v>132300</v>
      </c>
    </row>
    <row r="52" spans="1:82">
      <c r="A52" s="176" t="s">
        <v>235</v>
      </c>
      <c r="B52" s="177"/>
      <c r="C52" s="178"/>
      <c r="D52" s="178"/>
      <c r="E52" s="178"/>
      <c r="F52" s="178"/>
      <c r="G52" s="178"/>
      <c r="H52" s="178"/>
      <c r="I52" s="178">
        <v>24000</v>
      </c>
      <c r="J52" s="178"/>
      <c r="K52" s="178"/>
      <c r="L52" s="178">
        <v>25000</v>
      </c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  <c r="CB52" s="178"/>
      <c r="CC52" s="179"/>
      <c r="CD52" s="180">
        <v>49000</v>
      </c>
    </row>
    <row r="53" spans="1:82">
      <c r="A53" s="176" t="s">
        <v>149</v>
      </c>
      <c r="B53" s="177"/>
      <c r="C53" s="178">
        <v>4600</v>
      </c>
      <c r="D53" s="178"/>
      <c r="E53" s="178"/>
      <c r="F53" s="178"/>
      <c r="G53" s="178"/>
      <c r="H53" s="178"/>
      <c r="I53" s="178"/>
      <c r="J53" s="178">
        <v>2600</v>
      </c>
      <c r="K53" s="178"/>
      <c r="L53" s="178"/>
      <c r="M53" s="178"/>
      <c r="N53" s="178">
        <v>2600</v>
      </c>
      <c r="O53" s="178"/>
      <c r="P53" s="178">
        <v>2300</v>
      </c>
      <c r="Q53" s="178">
        <v>2600</v>
      </c>
      <c r="R53" s="178"/>
      <c r="S53" s="178">
        <v>3200</v>
      </c>
      <c r="T53" s="178">
        <v>2600</v>
      </c>
      <c r="U53" s="178"/>
      <c r="V53" s="178"/>
      <c r="W53" s="178"/>
      <c r="X53" s="178"/>
      <c r="Y53" s="178"/>
      <c r="Z53" s="178">
        <v>2600</v>
      </c>
      <c r="AA53" s="178">
        <v>2600</v>
      </c>
      <c r="AB53" s="178"/>
      <c r="AC53" s="178"/>
      <c r="AD53" s="178"/>
      <c r="AE53" s="178"/>
      <c r="AF53" s="178"/>
      <c r="AG53" s="178">
        <v>2600</v>
      </c>
      <c r="AH53" s="178"/>
      <c r="AI53" s="178">
        <v>2600</v>
      </c>
      <c r="AJ53" s="178"/>
      <c r="AK53" s="178"/>
      <c r="AL53" s="178"/>
      <c r="AM53" s="178"/>
      <c r="AN53" s="178">
        <v>2300</v>
      </c>
      <c r="AO53" s="178">
        <v>2600</v>
      </c>
      <c r="AP53" s="178"/>
      <c r="AQ53" s="178">
        <v>2600</v>
      </c>
      <c r="AR53" s="178"/>
      <c r="AS53" s="178"/>
      <c r="AT53" s="178">
        <v>2300</v>
      </c>
      <c r="AU53" s="178">
        <v>2600</v>
      </c>
      <c r="AV53" s="178">
        <v>2600</v>
      </c>
      <c r="AW53" s="178"/>
      <c r="AX53" s="178"/>
      <c r="AY53" s="178">
        <v>2600</v>
      </c>
      <c r="AZ53" s="178">
        <v>2600</v>
      </c>
      <c r="BA53" s="178">
        <v>2600</v>
      </c>
      <c r="BB53" s="178">
        <v>2600</v>
      </c>
      <c r="BC53" s="178">
        <v>2300</v>
      </c>
      <c r="BD53" s="178">
        <v>2600</v>
      </c>
      <c r="BE53" s="178"/>
      <c r="BF53" s="178"/>
      <c r="BG53" s="178"/>
      <c r="BH53" s="178"/>
      <c r="BI53" s="178">
        <v>2300</v>
      </c>
      <c r="BJ53" s="178"/>
      <c r="BK53" s="178">
        <v>2600</v>
      </c>
      <c r="BL53" s="178"/>
      <c r="BM53" s="178"/>
      <c r="BN53" s="178"/>
      <c r="BO53" s="178"/>
      <c r="BP53" s="178">
        <v>2300</v>
      </c>
      <c r="BQ53" s="178">
        <v>2600</v>
      </c>
      <c r="BR53" s="178"/>
      <c r="BS53" s="178"/>
      <c r="BT53" s="178"/>
      <c r="BU53" s="178"/>
      <c r="BV53" s="178">
        <v>2600</v>
      </c>
      <c r="BW53" s="178"/>
      <c r="BX53" s="178"/>
      <c r="BY53" s="178">
        <v>800</v>
      </c>
      <c r="BZ53" s="178">
        <v>0</v>
      </c>
      <c r="CA53" s="178">
        <v>1500</v>
      </c>
      <c r="CB53" s="178"/>
      <c r="CC53" s="179"/>
      <c r="CD53" s="180">
        <v>75900</v>
      </c>
    </row>
    <row r="54" spans="1:82">
      <c r="A54" s="176" t="s">
        <v>99</v>
      </c>
      <c r="B54" s="177"/>
      <c r="C54" s="178"/>
      <c r="D54" s="178"/>
      <c r="E54" s="178">
        <v>20400</v>
      </c>
      <c r="F54" s="178"/>
      <c r="G54" s="178"/>
      <c r="H54" s="178"/>
      <c r="I54" s="178"/>
      <c r="J54" s="178">
        <v>3500</v>
      </c>
      <c r="K54" s="178"/>
      <c r="L54" s="178"/>
      <c r="M54" s="178"/>
      <c r="N54" s="178">
        <v>3600</v>
      </c>
      <c r="O54" s="178"/>
      <c r="P54" s="178"/>
      <c r="Q54" s="178">
        <v>3500</v>
      </c>
      <c r="R54" s="178"/>
      <c r="S54" s="178">
        <v>3400</v>
      </c>
      <c r="T54" s="178">
        <v>3500</v>
      </c>
      <c r="U54" s="178"/>
      <c r="V54" s="178"/>
      <c r="W54" s="178"/>
      <c r="X54" s="178"/>
      <c r="Y54" s="178"/>
      <c r="Z54" s="178">
        <v>3400</v>
      </c>
      <c r="AA54" s="178">
        <v>3500</v>
      </c>
      <c r="AB54" s="178"/>
      <c r="AC54" s="178"/>
      <c r="AD54" s="178"/>
      <c r="AE54" s="178"/>
      <c r="AF54" s="178"/>
      <c r="AG54" s="178">
        <v>3400</v>
      </c>
      <c r="AH54" s="178"/>
      <c r="AI54" s="178">
        <v>3500</v>
      </c>
      <c r="AJ54" s="178"/>
      <c r="AK54" s="178"/>
      <c r="AL54" s="178"/>
      <c r="AM54" s="178"/>
      <c r="AN54" s="178"/>
      <c r="AO54" s="178">
        <v>3500</v>
      </c>
      <c r="AP54" s="178"/>
      <c r="AQ54" s="178">
        <v>3600</v>
      </c>
      <c r="AR54" s="178"/>
      <c r="AS54" s="178"/>
      <c r="AT54" s="178"/>
      <c r="AU54" s="178">
        <v>3500</v>
      </c>
      <c r="AV54" s="178">
        <v>3600</v>
      </c>
      <c r="AW54" s="178"/>
      <c r="AX54" s="178"/>
      <c r="AY54" s="178">
        <v>3400</v>
      </c>
      <c r="AZ54" s="178">
        <v>3500</v>
      </c>
      <c r="BA54" s="178">
        <v>3500</v>
      </c>
      <c r="BB54" s="178">
        <v>3600</v>
      </c>
      <c r="BC54" s="178">
        <v>3400</v>
      </c>
      <c r="BD54" s="178">
        <v>3500</v>
      </c>
      <c r="BE54" s="178"/>
      <c r="BF54" s="178"/>
      <c r="BG54" s="178"/>
      <c r="BH54" s="178"/>
      <c r="BI54" s="178">
        <v>3400</v>
      </c>
      <c r="BJ54" s="178"/>
      <c r="BK54" s="178">
        <v>3500</v>
      </c>
      <c r="BL54" s="178"/>
      <c r="BM54" s="178"/>
      <c r="BN54" s="178"/>
      <c r="BO54" s="178"/>
      <c r="BP54" s="178"/>
      <c r="BQ54" s="178">
        <v>3500</v>
      </c>
      <c r="BR54" s="178"/>
      <c r="BS54" s="178"/>
      <c r="BT54" s="178"/>
      <c r="BU54" s="178"/>
      <c r="BV54" s="178">
        <v>3600</v>
      </c>
      <c r="BW54" s="178"/>
      <c r="BX54" s="178"/>
      <c r="BY54" s="178">
        <v>3600</v>
      </c>
      <c r="BZ54" s="178">
        <v>3600</v>
      </c>
      <c r="CA54" s="178">
        <v>3600</v>
      </c>
      <c r="CB54" s="178"/>
      <c r="CC54" s="179"/>
      <c r="CD54" s="180">
        <v>111600</v>
      </c>
    </row>
    <row r="55" spans="1:82">
      <c r="A55" s="176" t="s">
        <v>80</v>
      </c>
      <c r="B55" s="177"/>
      <c r="C55" s="178"/>
      <c r="D55" s="178"/>
      <c r="E55" s="178"/>
      <c r="F55" s="178"/>
      <c r="G55" s="178">
        <v>4500</v>
      </c>
      <c r="H55" s="178"/>
      <c r="I55" s="178"/>
      <c r="J55" s="178">
        <v>1600</v>
      </c>
      <c r="K55" s="178"/>
      <c r="L55" s="178"/>
      <c r="M55" s="178"/>
      <c r="N55" s="178">
        <v>1600</v>
      </c>
      <c r="O55" s="178"/>
      <c r="P55" s="178">
        <v>1500</v>
      </c>
      <c r="Q55" s="178">
        <v>1600</v>
      </c>
      <c r="R55" s="178"/>
      <c r="S55" s="178">
        <v>1500</v>
      </c>
      <c r="T55" s="178">
        <v>1600</v>
      </c>
      <c r="U55" s="178"/>
      <c r="V55" s="178"/>
      <c r="W55" s="178"/>
      <c r="X55" s="178"/>
      <c r="Y55" s="178"/>
      <c r="Z55" s="178">
        <v>1500</v>
      </c>
      <c r="AA55" s="178">
        <v>1600</v>
      </c>
      <c r="AB55" s="178"/>
      <c r="AC55" s="178"/>
      <c r="AD55" s="178"/>
      <c r="AE55" s="178"/>
      <c r="AF55" s="178"/>
      <c r="AG55" s="178">
        <v>1500</v>
      </c>
      <c r="AH55" s="178"/>
      <c r="AI55" s="178">
        <v>1600</v>
      </c>
      <c r="AJ55" s="178"/>
      <c r="AK55" s="178"/>
      <c r="AL55" s="178"/>
      <c r="AM55" s="178"/>
      <c r="AN55" s="178">
        <v>1500</v>
      </c>
      <c r="AO55" s="178">
        <v>1600</v>
      </c>
      <c r="AP55" s="178"/>
      <c r="AQ55" s="178">
        <v>1600</v>
      </c>
      <c r="AR55" s="178"/>
      <c r="AS55" s="178"/>
      <c r="AT55" s="178"/>
      <c r="AU55" s="178">
        <v>1600</v>
      </c>
      <c r="AV55" s="178">
        <v>1600</v>
      </c>
      <c r="AW55" s="178">
        <v>1500</v>
      </c>
      <c r="AX55" s="178"/>
      <c r="AY55" s="178">
        <v>1500</v>
      </c>
      <c r="AZ55" s="178">
        <v>1600</v>
      </c>
      <c r="BA55" s="178">
        <v>1600</v>
      </c>
      <c r="BB55" s="178">
        <v>1600</v>
      </c>
      <c r="BC55" s="178">
        <v>1500</v>
      </c>
      <c r="BD55" s="178">
        <v>1600</v>
      </c>
      <c r="BE55" s="178"/>
      <c r="BF55" s="178"/>
      <c r="BG55" s="178"/>
      <c r="BH55" s="178"/>
      <c r="BI55" s="178">
        <v>1500</v>
      </c>
      <c r="BJ55" s="178"/>
      <c r="BK55" s="178">
        <v>1600</v>
      </c>
      <c r="BL55" s="178"/>
      <c r="BM55" s="178"/>
      <c r="BN55" s="178"/>
      <c r="BO55" s="178"/>
      <c r="BP55" s="178">
        <v>1500</v>
      </c>
      <c r="BQ55" s="178">
        <v>1600</v>
      </c>
      <c r="BR55" s="178"/>
      <c r="BS55" s="178"/>
      <c r="BT55" s="178"/>
      <c r="BU55" s="178"/>
      <c r="BV55" s="178">
        <v>1600</v>
      </c>
      <c r="BW55" s="178"/>
      <c r="BX55" s="178"/>
      <c r="BY55" s="178">
        <v>1600</v>
      </c>
      <c r="BZ55" s="178">
        <v>1600</v>
      </c>
      <c r="CA55" s="178">
        <v>1600</v>
      </c>
      <c r="CB55" s="178"/>
      <c r="CC55" s="179"/>
      <c r="CD55" s="180">
        <v>51500</v>
      </c>
    </row>
    <row r="56" spans="1:82">
      <c r="A56" s="176" t="s">
        <v>77</v>
      </c>
      <c r="B56" s="177"/>
      <c r="C56" s="178"/>
      <c r="D56" s="178"/>
      <c r="E56" s="178"/>
      <c r="F56" s="178"/>
      <c r="G56" s="178">
        <v>3300</v>
      </c>
      <c r="H56" s="178"/>
      <c r="I56" s="178"/>
      <c r="J56" s="178"/>
      <c r="K56" s="178">
        <v>2500</v>
      </c>
      <c r="L56" s="178"/>
      <c r="M56" s="178"/>
      <c r="N56" s="178"/>
      <c r="O56" s="178">
        <v>2500</v>
      </c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>
        <v>2500</v>
      </c>
      <c r="AC56" s="178"/>
      <c r="AD56" s="178">
        <v>3300</v>
      </c>
      <c r="AE56" s="178"/>
      <c r="AF56" s="178"/>
      <c r="AG56" s="178"/>
      <c r="AH56" s="178"/>
      <c r="AI56" s="178"/>
      <c r="AJ56" s="178">
        <v>2500</v>
      </c>
      <c r="AK56" s="178"/>
      <c r="AL56" s="178"/>
      <c r="AM56" s="178"/>
      <c r="AN56" s="178"/>
      <c r="AO56" s="178"/>
      <c r="AP56" s="178">
        <v>2500</v>
      </c>
      <c r="AQ56" s="178"/>
      <c r="AR56" s="178">
        <v>2500</v>
      </c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>
        <v>2500</v>
      </c>
      <c r="BG56" s="178"/>
      <c r="BH56" s="178"/>
      <c r="BI56" s="178"/>
      <c r="BJ56" s="178"/>
      <c r="BK56" s="178"/>
      <c r="BL56" s="178"/>
      <c r="BM56" s="178">
        <v>2500</v>
      </c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>
        <v>2500</v>
      </c>
      <c r="BY56" s="178"/>
      <c r="BZ56" s="178"/>
      <c r="CA56" s="178"/>
      <c r="CB56" s="178"/>
      <c r="CC56" s="179"/>
      <c r="CD56" s="180">
        <v>29100</v>
      </c>
    </row>
    <row r="57" spans="1:82">
      <c r="A57" s="176" t="s">
        <v>86</v>
      </c>
      <c r="B57" s="177"/>
      <c r="C57" s="178"/>
      <c r="D57" s="178"/>
      <c r="E57" s="178"/>
      <c r="F57" s="178"/>
      <c r="G57" s="178">
        <v>4800</v>
      </c>
      <c r="H57" s="178"/>
      <c r="I57" s="178"/>
      <c r="J57" s="178"/>
      <c r="K57" s="178">
        <v>4800</v>
      </c>
      <c r="L57" s="178"/>
      <c r="M57" s="178"/>
      <c r="N57" s="178"/>
      <c r="O57" s="178">
        <v>4800</v>
      </c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>
        <v>4800</v>
      </c>
      <c r="AC57" s="178"/>
      <c r="AD57" s="178"/>
      <c r="AE57" s="178"/>
      <c r="AF57" s="178"/>
      <c r="AG57" s="178"/>
      <c r="AH57" s="178"/>
      <c r="AI57" s="178"/>
      <c r="AJ57" s="178">
        <v>4800</v>
      </c>
      <c r="AK57" s="178"/>
      <c r="AL57" s="178"/>
      <c r="AM57" s="178"/>
      <c r="AN57" s="178"/>
      <c r="AO57" s="178"/>
      <c r="AP57" s="178">
        <v>4800</v>
      </c>
      <c r="AQ57" s="178"/>
      <c r="AR57" s="178">
        <v>4800</v>
      </c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>
        <v>4800</v>
      </c>
      <c r="BG57" s="178"/>
      <c r="BH57" s="178"/>
      <c r="BI57" s="178"/>
      <c r="BJ57" s="178"/>
      <c r="BK57" s="178"/>
      <c r="BL57" s="178"/>
      <c r="BM57" s="178">
        <v>4800</v>
      </c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>
        <v>4800</v>
      </c>
      <c r="BY57" s="178"/>
      <c r="BZ57" s="178"/>
      <c r="CA57" s="178"/>
      <c r="CB57" s="178"/>
      <c r="CC57" s="179"/>
      <c r="CD57" s="180">
        <v>48000</v>
      </c>
    </row>
    <row r="58" spans="1:82">
      <c r="A58" s="176" t="s">
        <v>96</v>
      </c>
      <c r="B58" s="177"/>
      <c r="C58" s="178"/>
      <c r="D58" s="178"/>
      <c r="E58" s="178">
        <v>20400</v>
      </c>
      <c r="F58" s="178"/>
      <c r="G58" s="178"/>
      <c r="H58" s="178"/>
      <c r="I58" s="178"/>
      <c r="J58" s="178">
        <v>3500</v>
      </c>
      <c r="K58" s="178"/>
      <c r="L58" s="178"/>
      <c r="M58" s="178"/>
      <c r="N58" s="178">
        <v>3600</v>
      </c>
      <c r="O58" s="178"/>
      <c r="P58" s="178"/>
      <c r="Q58" s="178">
        <v>3500</v>
      </c>
      <c r="R58" s="178"/>
      <c r="S58" s="178">
        <v>3400</v>
      </c>
      <c r="T58" s="178">
        <v>3500</v>
      </c>
      <c r="U58" s="178"/>
      <c r="V58" s="178"/>
      <c r="W58" s="178"/>
      <c r="X58" s="178"/>
      <c r="Y58" s="178"/>
      <c r="Z58" s="178">
        <v>3400</v>
      </c>
      <c r="AA58" s="178">
        <v>3500</v>
      </c>
      <c r="AB58" s="178"/>
      <c r="AC58" s="178"/>
      <c r="AD58" s="178"/>
      <c r="AE58" s="178"/>
      <c r="AF58" s="178"/>
      <c r="AG58" s="178">
        <v>3400</v>
      </c>
      <c r="AH58" s="178"/>
      <c r="AI58" s="178">
        <v>3500</v>
      </c>
      <c r="AJ58" s="178"/>
      <c r="AK58" s="178"/>
      <c r="AL58" s="178"/>
      <c r="AM58" s="178"/>
      <c r="AN58" s="178"/>
      <c r="AO58" s="178">
        <v>3500</v>
      </c>
      <c r="AP58" s="178"/>
      <c r="AQ58" s="178">
        <v>3600</v>
      </c>
      <c r="AR58" s="178"/>
      <c r="AS58" s="178"/>
      <c r="AT58" s="178"/>
      <c r="AU58" s="178">
        <v>3500</v>
      </c>
      <c r="AV58" s="178">
        <v>3600</v>
      </c>
      <c r="AW58" s="178"/>
      <c r="AX58" s="178"/>
      <c r="AY58" s="178">
        <v>3400</v>
      </c>
      <c r="AZ58" s="178">
        <v>3500</v>
      </c>
      <c r="BA58" s="178">
        <v>3500</v>
      </c>
      <c r="BB58" s="178">
        <v>3600</v>
      </c>
      <c r="BC58" s="178">
        <v>3400</v>
      </c>
      <c r="BD58" s="178">
        <v>3500</v>
      </c>
      <c r="BE58" s="178"/>
      <c r="BF58" s="178"/>
      <c r="BG58" s="178"/>
      <c r="BH58" s="178"/>
      <c r="BI58" s="178">
        <v>3400</v>
      </c>
      <c r="BJ58" s="178"/>
      <c r="BK58" s="178">
        <v>3500</v>
      </c>
      <c r="BL58" s="178"/>
      <c r="BM58" s="178"/>
      <c r="BN58" s="178"/>
      <c r="BO58" s="178"/>
      <c r="BP58" s="178"/>
      <c r="BQ58" s="178">
        <v>3500</v>
      </c>
      <c r="BR58" s="178"/>
      <c r="BS58" s="178"/>
      <c r="BT58" s="178"/>
      <c r="BU58" s="178"/>
      <c r="BV58" s="178">
        <v>3600</v>
      </c>
      <c r="BW58" s="178"/>
      <c r="BX58" s="178"/>
      <c r="BY58" s="178">
        <v>3600</v>
      </c>
      <c r="BZ58" s="178">
        <v>3600</v>
      </c>
      <c r="CA58" s="178">
        <v>3600</v>
      </c>
      <c r="CB58" s="178"/>
      <c r="CC58" s="179"/>
      <c r="CD58" s="180">
        <v>111600</v>
      </c>
    </row>
    <row r="59" spans="1:82">
      <c r="A59" s="176" t="s">
        <v>148</v>
      </c>
      <c r="B59" s="177"/>
      <c r="C59" s="178">
        <v>8000</v>
      </c>
      <c r="D59" s="178"/>
      <c r="E59" s="178"/>
      <c r="F59" s="178"/>
      <c r="G59" s="178"/>
      <c r="H59" s="178"/>
      <c r="I59" s="178"/>
      <c r="J59" s="178">
        <v>4100</v>
      </c>
      <c r="K59" s="178"/>
      <c r="L59" s="178"/>
      <c r="M59" s="178"/>
      <c r="N59" s="178">
        <v>4200</v>
      </c>
      <c r="O59" s="178"/>
      <c r="P59" s="178">
        <v>4000</v>
      </c>
      <c r="Q59" s="178">
        <v>4100</v>
      </c>
      <c r="R59" s="178"/>
      <c r="S59" s="178">
        <v>4000</v>
      </c>
      <c r="T59" s="178">
        <v>4100</v>
      </c>
      <c r="U59" s="178"/>
      <c r="V59" s="178"/>
      <c r="W59" s="178"/>
      <c r="X59" s="178"/>
      <c r="Y59" s="178"/>
      <c r="Z59" s="178">
        <v>4000</v>
      </c>
      <c r="AA59" s="178">
        <v>4100</v>
      </c>
      <c r="AB59" s="178"/>
      <c r="AC59" s="178"/>
      <c r="AD59" s="178"/>
      <c r="AE59" s="178"/>
      <c r="AF59" s="178"/>
      <c r="AG59" s="178">
        <v>4000</v>
      </c>
      <c r="AH59" s="178"/>
      <c r="AI59" s="178">
        <v>4100</v>
      </c>
      <c r="AJ59" s="178"/>
      <c r="AK59" s="178"/>
      <c r="AL59" s="178"/>
      <c r="AM59" s="178"/>
      <c r="AN59" s="178">
        <v>4000</v>
      </c>
      <c r="AO59" s="178">
        <v>4100</v>
      </c>
      <c r="AP59" s="178"/>
      <c r="AQ59" s="178">
        <v>4200</v>
      </c>
      <c r="AR59" s="178"/>
      <c r="AS59" s="178"/>
      <c r="AT59" s="178">
        <v>4000</v>
      </c>
      <c r="AU59" s="178">
        <v>4100</v>
      </c>
      <c r="AV59" s="178">
        <v>4200</v>
      </c>
      <c r="AW59" s="178"/>
      <c r="AX59" s="178"/>
      <c r="AY59" s="178">
        <v>4000</v>
      </c>
      <c r="AZ59" s="178">
        <v>4100</v>
      </c>
      <c r="BA59" s="178">
        <v>4100</v>
      </c>
      <c r="BB59" s="178">
        <v>4200</v>
      </c>
      <c r="BC59" s="178">
        <v>4000</v>
      </c>
      <c r="BD59" s="178">
        <v>4100</v>
      </c>
      <c r="BE59" s="178"/>
      <c r="BF59" s="178"/>
      <c r="BG59" s="178"/>
      <c r="BH59" s="178"/>
      <c r="BI59" s="178">
        <v>4000</v>
      </c>
      <c r="BJ59" s="178"/>
      <c r="BK59" s="178">
        <v>4100</v>
      </c>
      <c r="BL59" s="178"/>
      <c r="BM59" s="178"/>
      <c r="BN59" s="178"/>
      <c r="BO59" s="178"/>
      <c r="BP59" s="178">
        <v>4000</v>
      </c>
      <c r="BQ59" s="178">
        <v>4100</v>
      </c>
      <c r="BR59" s="178"/>
      <c r="BS59" s="178"/>
      <c r="BT59" s="178"/>
      <c r="BU59" s="178"/>
      <c r="BV59" s="178">
        <v>4200</v>
      </c>
      <c r="BW59" s="178"/>
      <c r="BX59" s="178"/>
      <c r="BY59" s="178">
        <v>4200</v>
      </c>
      <c r="BZ59" s="178">
        <v>4200</v>
      </c>
      <c r="CA59" s="178">
        <v>4200</v>
      </c>
      <c r="CB59" s="178"/>
      <c r="CC59" s="179"/>
      <c r="CD59" s="180">
        <v>130800</v>
      </c>
    </row>
    <row r="60" spans="1:82">
      <c r="A60" s="176" t="s">
        <v>196</v>
      </c>
      <c r="B60" s="177"/>
      <c r="C60" s="178"/>
      <c r="D60" s="178">
        <v>4800</v>
      </c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>
        <v>4800</v>
      </c>
      <c r="AC60" s="178"/>
      <c r="AD60" s="178"/>
      <c r="AE60" s="178"/>
      <c r="AF60" s="178"/>
      <c r="AG60" s="178"/>
      <c r="AH60" s="178"/>
      <c r="AI60" s="178"/>
      <c r="AJ60" s="178"/>
      <c r="AK60" s="178"/>
      <c r="AL60" s="178">
        <v>9600</v>
      </c>
      <c r="AM60" s="178"/>
      <c r="AN60" s="178"/>
      <c r="AO60" s="178"/>
      <c r="AP60" s="178"/>
      <c r="AQ60" s="178"/>
      <c r="AR60" s="178"/>
      <c r="AS60" s="178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8"/>
      <c r="BE60" s="178"/>
      <c r="BF60" s="178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9"/>
      <c r="CD60" s="180">
        <v>19200</v>
      </c>
    </row>
    <row r="61" spans="1:82">
      <c r="A61" s="176" t="s">
        <v>138</v>
      </c>
      <c r="B61" s="177"/>
      <c r="C61" s="178"/>
      <c r="D61" s="178"/>
      <c r="E61" s="178"/>
      <c r="F61" s="178"/>
      <c r="G61" s="178">
        <v>5100</v>
      </c>
      <c r="H61" s="178"/>
      <c r="I61" s="178"/>
      <c r="J61" s="178">
        <v>2700</v>
      </c>
      <c r="K61" s="178"/>
      <c r="L61" s="178"/>
      <c r="M61" s="178"/>
      <c r="N61" s="178">
        <v>2800</v>
      </c>
      <c r="O61" s="178"/>
      <c r="P61" s="178">
        <v>1700</v>
      </c>
      <c r="Q61" s="178">
        <v>2700</v>
      </c>
      <c r="R61" s="178"/>
      <c r="S61" s="178">
        <v>4700</v>
      </c>
      <c r="T61" s="178">
        <v>2700</v>
      </c>
      <c r="U61" s="178"/>
      <c r="V61" s="178"/>
      <c r="W61" s="178"/>
      <c r="X61" s="178"/>
      <c r="Y61" s="178"/>
      <c r="Z61" s="178">
        <v>2700</v>
      </c>
      <c r="AA61" s="178">
        <v>2700</v>
      </c>
      <c r="AB61" s="178"/>
      <c r="AC61" s="178"/>
      <c r="AD61" s="178"/>
      <c r="AE61" s="178"/>
      <c r="AF61" s="178"/>
      <c r="AG61" s="178">
        <v>2700</v>
      </c>
      <c r="AH61" s="178"/>
      <c r="AI61" s="178">
        <v>2700</v>
      </c>
      <c r="AJ61" s="178"/>
      <c r="AK61" s="178"/>
      <c r="AL61" s="178"/>
      <c r="AM61" s="178"/>
      <c r="AN61" s="178">
        <v>1700</v>
      </c>
      <c r="AO61" s="178">
        <v>2700</v>
      </c>
      <c r="AP61" s="178"/>
      <c r="AQ61" s="178">
        <v>2800</v>
      </c>
      <c r="AR61" s="178"/>
      <c r="AS61" s="178"/>
      <c r="AT61" s="178"/>
      <c r="AU61" s="178">
        <v>2700</v>
      </c>
      <c r="AV61" s="178">
        <v>2800</v>
      </c>
      <c r="AW61" s="178">
        <v>1700</v>
      </c>
      <c r="AX61" s="178"/>
      <c r="AY61" s="178">
        <v>2700</v>
      </c>
      <c r="AZ61" s="178">
        <v>2700</v>
      </c>
      <c r="BA61" s="178">
        <v>2700</v>
      </c>
      <c r="BB61" s="178">
        <v>2800</v>
      </c>
      <c r="BC61" s="178">
        <v>1700</v>
      </c>
      <c r="BD61" s="178">
        <v>2700</v>
      </c>
      <c r="BE61" s="178"/>
      <c r="BF61" s="178"/>
      <c r="BG61" s="178"/>
      <c r="BH61" s="178"/>
      <c r="BI61" s="178">
        <v>1700</v>
      </c>
      <c r="BJ61" s="178"/>
      <c r="BK61" s="178">
        <v>2700</v>
      </c>
      <c r="BL61" s="178"/>
      <c r="BM61" s="178"/>
      <c r="BN61" s="178"/>
      <c r="BO61" s="178"/>
      <c r="BP61" s="178">
        <v>1700</v>
      </c>
      <c r="BQ61" s="178">
        <v>2700</v>
      </c>
      <c r="BR61" s="178"/>
      <c r="BS61" s="178"/>
      <c r="BT61" s="178"/>
      <c r="BU61" s="178"/>
      <c r="BV61" s="178">
        <v>2800</v>
      </c>
      <c r="BW61" s="178"/>
      <c r="BX61" s="178"/>
      <c r="BY61" s="178">
        <v>2800</v>
      </c>
      <c r="BZ61" s="178">
        <v>2800</v>
      </c>
      <c r="CA61" s="178">
        <v>2800</v>
      </c>
      <c r="CB61" s="178"/>
      <c r="CC61" s="179"/>
      <c r="CD61" s="180">
        <v>82900</v>
      </c>
    </row>
    <row r="62" spans="1:82">
      <c r="A62" s="176" t="s">
        <v>340</v>
      </c>
      <c r="B62" s="177">
        <v>3000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>
        <v>5000</v>
      </c>
      <c r="AK62" s="178"/>
      <c r="AL62" s="178"/>
      <c r="AM62" s="178"/>
      <c r="AN62" s="178"/>
      <c r="AO62" s="178"/>
      <c r="AP62" s="178"/>
      <c r="AQ62" s="178">
        <v>1500</v>
      </c>
      <c r="AR62" s="178"/>
      <c r="AS62" s="178"/>
      <c r="AT62" s="178"/>
      <c r="AU62" s="178"/>
      <c r="AV62" s="178">
        <v>1500</v>
      </c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>
        <v>1500</v>
      </c>
      <c r="BW62" s="178"/>
      <c r="BX62" s="178"/>
      <c r="BY62" s="178">
        <v>1500</v>
      </c>
      <c r="BZ62" s="178">
        <v>1500</v>
      </c>
      <c r="CA62" s="178">
        <v>1500</v>
      </c>
      <c r="CB62" s="178"/>
      <c r="CC62" s="179"/>
      <c r="CD62" s="180">
        <v>17000</v>
      </c>
    </row>
    <row r="63" spans="1:82">
      <c r="A63" s="176" t="s">
        <v>79</v>
      </c>
      <c r="B63" s="177"/>
      <c r="C63" s="178"/>
      <c r="D63" s="178"/>
      <c r="E63" s="178"/>
      <c r="F63" s="178"/>
      <c r="G63" s="178">
        <v>4500</v>
      </c>
      <c r="H63" s="178"/>
      <c r="I63" s="178"/>
      <c r="J63" s="178">
        <v>1600</v>
      </c>
      <c r="K63" s="178"/>
      <c r="L63" s="178"/>
      <c r="M63" s="178"/>
      <c r="N63" s="178">
        <v>1600</v>
      </c>
      <c r="O63" s="178"/>
      <c r="P63" s="178">
        <v>1500</v>
      </c>
      <c r="Q63" s="178">
        <v>1600</v>
      </c>
      <c r="R63" s="178"/>
      <c r="S63" s="178">
        <v>1500</v>
      </c>
      <c r="T63" s="178">
        <v>1600</v>
      </c>
      <c r="U63" s="178"/>
      <c r="V63" s="178"/>
      <c r="W63" s="178"/>
      <c r="X63" s="178"/>
      <c r="Y63" s="178"/>
      <c r="Z63" s="178">
        <v>1500</v>
      </c>
      <c r="AA63" s="178">
        <v>1600</v>
      </c>
      <c r="AB63" s="178"/>
      <c r="AC63" s="178"/>
      <c r="AD63" s="178"/>
      <c r="AE63" s="178"/>
      <c r="AF63" s="178"/>
      <c r="AG63" s="178">
        <v>1500</v>
      </c>
      <c r="AH63" s="178"/>
      <c r="AI63" s="178">
        <v>1600</v>
      </c>
      <c r="AJ63" s="178"/>
      <c r="AK63" s="178"/>
      <c r="AL63" s="178"/>
      <c r="AM63" s="178"/>
      <c r="AN63" s="178">
        <v>1500</v>
      </c>
      <c r="AO63" s="178">
        <v>1600</v>
      </c>
      <c r="AP63" s="178"/>
      <c r="AQ63" s="178">
        <v>1600</v>
      </c>
      <c r="AR63" s="178"/>
      <c r="AS63" s="178"/>
      <c r="AT63" s="178"/>
      <c r="AU63" s="178">
        <v>1600</v>
      </c>
      <c r="AV63" s="178">
        <v>1600</v>
      </c>
      <c r="AW63" s="178">
        <v>1500</v>
      </c>
      <c r="AX63" s="178"/>
      <c r="AY63" s="178">
        <v>1500</v>
      </c>
      <c r="AZ63" s="178">
        <v>1600</v>
      </c>
      <c r="BA63" s="178">
        <v>1600</v>
      </c>
      <c r="BB63" s="178">
        <v>1600</v>
      </c>
      <c r="BC63" s="178">
        <v>1500</v>
      </c>
      <c r="BD63" s="178">
        <v>1600</v>
      </c>
      <c r="BE63" s="178"/>
      <c r="BF63" s="178"/>
      <c r="BG63" s="178"/>
      <c r="BH63" s="178"/>
      <c r="BI63" s="178">
        <v>1500</v>
      </c>
      <c r="BJ63" s="178"/>
      <c r="BK63" s="178">
        <v>1600</v>
      </c>
      <c r="BL63" s="178"/>
      <c r="BM63" s="178"/>
      <c r="BN63" s="178"/>
      <c r="BO63" s="178"/>
      <c r="BP63" s="178">
        <v>1500</v>
      </c>
      <c r="BQ63" s="178">
        <v>1600</v>
      </c>
      <c r="BR63" s="178"/>
      <c r="BS63" s="178"/>
      <c r="BT63" s="178"/>
      <c r="BU63" s="178"/>
      <c r="BV63" s="178">
        <v>1600</v>
      </c>
      <c r="BW63" s="178"/>
      <c r="BX63" s="178"/>
      <c r="BY63" s="178">
        <v>1600</v>
      </c>
      <c r="BZ63" s="178">
        <v>1600</v>
      </c>
      <c r="CA63" s="178">
        <v>1600</v>
      </c>
      <c r="CB63" s="178"/>
      <c r="CC63" s="179"/>
      <c r="CD63" s="180">
        <v>51500</v>
      </c>
    </row>
    <row r="64" spans="1:82">
      <c r="A64" s="176" t="s">
        <v>106</v>
      </c>
      <c r="B64" s="177"/>
      <c r="C64" s="178"/>
      <c r="D64" s="178"/>
      <c r="E64" s="178"/>
      <c r="F64" s="178"/>
      <c r="G64" s="178"/>
      <c r="H64" s="178"/>
      <c r="I64" s="178"/>
      <c r="J64" s="178">
        <v>2700</v>
      </c>
      <c r="K64" s="178"/>
      <c r="L64" s="178"/>
      <c r="M64" s="178"/>
      <c r="N64" s="178">
        <v>2800</v>
      </c>
      <c r="O64" s="178"/>
      <c r="P64" s="178"/>
      <c r="Q64" s="178">
        <v>2700</v>
      </c>
      <c r="R64" s="178"/>
      <c r="S64" s="178">
        <v>2500</v>
      </c>
      <c r="T64" s="178">
        <v>2700</v>
      </c>
      <c r="U64" s="178"/>
      <c r="V64" s="178"/>
      <c r="W64" s="178"/>
      <c r="X64" s="178"/>
      <c r="Y64" s="178">
        <v>5000</v>
      </c>
      <c r="Z64" s="178"/>
      <c r="AA64" s="178">
        <v>2700</v>
      </c>
      <c r="AB64" s="178"/>
      <c r="AC64" s="178"/>
      <c r="AD64" s="178"/>
      <c r="AE64" s="178"/>
      <c r="AF64" s="178"/>
      <c r="AG64" s="178">
        <v>2500</v>
      </c>
      <c r="AH64" s="178"/>
      <c r="AI64" s="178">
        <v>2700</v>
      </c>
      <c r="AJ64" s="178"/>
      <c r="AK64" s="178"/>
      <c r="AL64" s="178"/>
      <c r="AM64" s="178"/>
      <c r="AN64" s="178"/>
      <c r="AO64" s="178">
        <v>2700</v>
      </c>
      <c r="AP64" s="178"/>
      <c r="AQ64" s="178">
        <v>2800</v>
      </c>
      <c r="AR64" s="178"/>
      <c r="AS64" s="178"/>
      <c r="AT64" s="178"/>
      <c r="AU64" s="178">
        <v>2700</v>
      </c>
      <c r="AV64" s="178">
        <v>2800</v>
      </c>
      <c r="AW64" s="178"/>
      <c r="AX64" s="178">
        <v>17500</v>
      </c>
      <c r="AY64" s="178"/>
      <c r="AZ64" s="178">
        <v>2700</v>
      </c>
      <c r="BA64" s="178">
        <v>2700</v>
      </c>
      <c r="BB64" s="178">
        <v>2800</v>
      </c>
      <c r="BC64" s="178">
        <v>2500</v>
      </c>
      <c r="BD64" s="178">
        <v>2700</v>
      </c>
      <c r="BE64" s="178"/>
      <c r="BF64" s="178"/>
      <c r="BG64" s="178"/>
      <c r="BH64" s="178"/>
      <c r="BI64" s="178">
        <v>2500</v>
      </c>
      <c r="BJ64" s="178"/>
      <c r="BK64" s="178">
        <v>2700</v>
      </c>
      <c r="BL64" s="178"/>
      <c r="BM64" s="178"/>
      <c r="BN64" s="178"/>
      <c r="BO64" s="178"/>
      <c r="BP64" s="178"/>
      <c r="BQ64" s="178">
        <v>2700</v>
      </c>
      <c r="BR64" s="178"/>
      <c r="BS64" s="178"/>
      <c r="BT64" s="178"/>
      <c r="BU64" s="178"/>
      <c r="BV64" s="178"/>
      <c r="BW64" s="178">
        <v>5600</v>
      </c>
      <c r="BX64" s="178"/>
      <c r="BY64" s="178">
        <v>2800</v>
      </c>
      <c r="BZ64" s="178"/>
      <c r="CA64" s="178">
        <v>2800</v>
      </c>
      <c r="CB64" s="178"/>
      <c r="CC64" s="179"/>
      <c r="CD64" s="180">
        <v>87300</v>
      </c>
    </row>
    <row r="65" spans="1:82">
      <c r="A65" s="176" t="s">
        <v>237</v>
      </c>
      <c r="B65" s="177"/>
      <c r="C65" s="178"/>
      <c r="D65" s="178"/>
      <c r="E65" s="178"/>
      <c r="F65" s="178"/>
      <c r="G65" s="178"/>
      <c r="H65" s="178"/>
      <c r="I65" s="178"/>
      <c r="J65" s="178">
        <v>3600</v>
      </c>
      <c r="K65" s="178"/>
      <c r="L65" s="178"/>
      <c r="M65" s="178"/>
      <c r="N65" s="178"/>
      <c r="O65" s="178">
        <v>15700</v>
      </c>
      <c r="P65" s="178"/>
      <c r="Q65" s="178">
        <v>3600</v>
      </c>
      <c r="R65" s="178">
        <v>14400</v>
      </c>
      <c r="S65" s="178"/>
      <c r="T65" s="178">
        <v>3600</v>
      </c>
      <c r="U65" s="178"/>
      <c r="V65" s="178"/>
      <c r="W65" s="178"/>
      <c r="X65" s="178"/>
      <c r="Y65" s="178"/>
      <c r="Z65" s="178"/>
      <c r="AA65" s="178">
        <v>3600</v>
      </c>
      <c r="AB65" s="178"/>
      <c r="AC65" s="178"/>
      <c r="AD65" s="178"/>
      <c r="AE65" s="178"/>
      <c r="AF65" s="178"/>
      <c r="AG65" s="178"/>
      <c r="AH65" s="178"/>
      <c r="AI65" s="178">
        <v>3600</v>
      </c>
      <c r="AJ65" s="178"/>
      <c r="AK65" s="178"/>
      <c r="AL65" s="178"/>
      <c r="AM65" s="178"/>
      <c r="AN65" s="178"/>
      <c r="AO65" s="178">
        <v>3600</v>
      </c>
      <c r="AP65" s="178"/>
      <c r="AQ65" s="178">
        <v>8500</v>
      </c>
      <c r="AR65" s="178"/>
      <c r="AS65" s="178"/>
      <c r="AT65" s="178"/>
      <c r="AU65" s="178">
        <v>3600</v>
      </c>
      <c r="AV65" s="178"/>
      <c r="AW65" s="178"/>
      <c r="AX65" s="178"/>
      <c r="AY65" s="178"/>
      <c r="AZ65" s="178">
        <v>3600</v>
      </c>
      <c r="BA65" s="178">
        <v>3600</v>
      </c>
      <c r="BB65" s="178"/>
      <c r="BC65" s="178"/>
      <c r="BD65" s="178">
        <v>3600</v>
      </c>
      <c r="BE65" s="178"/>
      <c r="BF65" s="178"/>
      <c r="BG65" s="178"/>
      <c r="BH65" s="178"/>
      <c r="BI65" s="178"/>
      <c r="BJ65" s="178"/>
      <c r="BK65" s="178">
        <v>3600</v>
      </c>
      <c r="BL65" s="178"/>
      <c r="BM65" s="178"/>
      <c r="BN65" s="178"/>
      <c r="BO65" s="178"/>
      <c r="BP65" s="178"/>
      <c r="BQ65" s="178">
        <v>3600</v>
      </c>
      <c r="BR65" s="178"/>
      <c r="BS65" s="178"/>
      <c r="BT65" s="178"/>
      <c r="BU65" s="178"/>
      <c r="BV65" s="178">
        <v>8500</v>
      </c>
      <c r="BW65" s="178"/>
      <c r="BX65" s="178"/>
      <c r="BY65" s="178">
        <v>8500</v>
      </c>
      <c r="BZ65" s="178">
        <v>8500</v>
      </c>
      <c r="CA65" s="178">
        <v>8500</v>
      </c>
      <c r="CB65" s="178"/>
      <c r="CC65" s="179"/>
      <c r="CD65" s="180">
        <v>115800</v>
      </c>
    </row>
    <row r="66" spans="1:82">
      <c r="A66" s="176" t="s">
        <v>146</v>
      </c>
      <c r="B66" s="177"/>
      <c r="C66" s="178">
        <v>3000</v>
      </c>
      <c r="D66" s="178"/>
      <c r="E66" s="178"/>
      <c r="F66" s="178"/>
      <c r="G66" s="178"/>
      <c r="H66" s="178"/>
      <c r="I66" s="178"/>
      <c r="J66" s="178">
        <v>2000</v>
      </c>
      <c r="K66" s="178"/>
      <c r="L66" s="178"/>
      <c r="M66" s="178"/>
      <c r="N66" s="178">
        <v>2000</v>
      </c>
      <c r="O66" s="178"/>
      <c r="P66" s="178">
        <v>1500</v>
      </c>
      <c r="Q66" s="178">
        <v>2000</v>
      </c>
      <c r="R66" s="178"/>
      <c r="S66" s="178">
        <v>2200</v>
      </c>
      <c r="T66" s="178">
        <v>2000</v>
      </c>
      <c r="U66" s="178"/>
      <c r="V66" s="178"/>
      <c r="W66" s="178"/>
      <c r="X66" s="178"/>
      <c r="Y66" s="178"/>
      <c r="Z66" s="178">
        <v>2000</v>
      </c>
      <c r="AA66" s="178">
        <v>2000</v>
      </c>
      <c r="AB66" s="178"/>
      <c r="AC66" s="178"/>
      <c r="AD66" s="178"/>
      <c r="AE66" s="178"/>
      <c r="AF66" s="178"/>
      <c r="AG66" s="178">
        <v>2200</v>
      </c>
      <c r="AH66" s="178"/>
      <c r="AI66" s="178">
        <v>2000</v>
      </c>
      <c r="AJ66" s="178"/>
      <c r="AK66" s="178"/>
      <c r="AL66" s="178"/>
      <c r="AM66" s="178"/>
      <c r="AN66" s="178">
        <v>1500</v>
      </c>
      <c r="AO66" s="178">
        <v>2000</v>
      </c>
      <c r="AP66" s="178"/>
      <c r="AQ66" s="178">
        <v>2000</v>
      </c>
      <c r="AR66" s="178"/>
      <c r="AS66" s="178"/>
      <c r="AT66" s="178">
        <v>1500</v>
      </c>
      <c r="AU66" s="178">
        <v>2000</v>
      </c>
      <c r="AV66" s="178">
        <v>2000</v>
      </c>
      <c r="AW66" s="178"/>
      <c r="AX66" s="178"/>
      <c r="AY66" s="178">
        <v>2000</v>
      </c>
      <c r="AZ66" s="178">
        <v>2000</v>
      </c>
      <c r="BA66" s="178">
        <v>2000</v>
      </c>
      <c r="BB66" s="178">
        <v>2000</v>
      </c>
      <c r="BC66" s="178">
        <v>2200</v>
      </c>
      <c r="BD66" s="178">
        <v>2000</v>
      </c>
      <c r="BE66" s="178"/>
      <c r="BF66" s="178"/>
      <c r="BG66" s="178"/>
      <c r="BH66" s="178"/>
      <c r="BI66" s="178">
        <v>5200</v>
      </c>
      <c r="BJ66" s="178"/>
      <c r="BK66" s="178">
        <v>2000</v>
      </c>
      <c r="BL66" s="178"/>
      <c r="BM66" s="178"/>
      <c r="BN66" s="178"/>
      <c r="BO66" s="178"/>
      <c r="BP66" s="178">
        <v>1500</v>
      </c>
      <c r="BQ66" s="178">
        <v>2000</v>
      </c>
      <c r="BR66" s="178"/>
      <c r="BS66" s="178"/>
      <c r="BT66" s="178"/>
      <c r="BU66" s="178"/>
      <c r="BV66" s="178">
        <v>2000</v>
      </c>
      <c r="BW66" s="178"/>
      <c r="BX66" s="178"/>
      <c r="BY66" s="178">
        <v>2000</v>
      </c>
      <c r="BZ66" s="178">
        <v>2000</v>
      </c>
      <c r="CA66" s="178">
        <v>2000</v>
      </c>
      <c r="CB66" s="178"/>
      <c r="CC66" s="179"/>
      <c r="CD66" s="180">
        <v>64800</v>
      </c>
    </row>
    <row r="67" spans="1:82">
      <c r="A67" s="176" t="s">
        <v>76</v>
      </c>
      <c r="B67" s="177"/>
      <c r="C67" s="178">
        <v>6000</v>
      </c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>
        <v>3000</v>
      </c>
      <c r="Q67" s="178"/>
      <c r="R67" s="178"/>
      <c r="S67" s="178">
        <v>3000</v>
      </c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8"/>
      <c r="AP67" s="178"/>
      <c r="AQ67" s="178"/>
      <c r="AR67" s="178"/>
      <c r="AS67" s="178">
        <v>6000</v>
      </c>
      <c r="AT67" s="178"/>
      <c r="AU67" s="178"/>
      <c r="AV67" s="178"/>
      <c r="AW67" s="178">
        <v>3000</v>
      </c>
      <c r="AX67" s="178"/>
      <c r="AY67" s="178"/>
      <c r="AZ67" s="178"/>
      <c r="BA67" s="178"/>
      <c r="BB67" s="178"/>
      <c r="BC67" s="178">
        <v>3000</v>
      </c>
      <c r="BD67" s="178"/>
      <c r="BE67" s="178"/>
      <c r="BF67" s="178"/>
      <c r="BG67" s="178"/>
      <c r="BH67" s="178"/>
      <c r="BI67" s="178">
        <v>3000</v>
      </c>
      <c r="BJ67" s="178"/>
      <c r="BK67" s="178"/>
      <c r="BL67" s="178"/>
      <c r="BM67" s="178"/>
      <c r="BN67" s="178"/>
      <c r="BO67" s="178"/>
      <c r="BP67" s="178">
        <v>3000</v>
      </c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  <c r="CB67" s="178"/>
      <c r="CC67" s="179"/>
      <c r="CD67" s="180">
        <v>30000</v>
      </c>
    </row>
    <row r="68" spans="1:82">
      <c r="A68" s="176" t="s">
        <v>315</v>
      </c>
      <c r="B68" s="177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>
        <v>3000</v>
      </c>
      <c r="O68" s="178"/>
      <c r="P68" s="178"/>
      <c r="Q68" s="178"/>
      <c r="R68" s="178"/>
      <c r="S68" s="178"/>
      <c r="T68" s="178">
        <v>3000</v>
      </c>
      <c r="U68" s="178"/>
      <c r="V68" s="178"/>
      <c r="W68" s="178"/>
      <c r="X68" s="178"/>
      <c r="Y68" s="178"/>
      <c r="Z68" s="178"/>
      <c r="AA68" s="178">
        <v>3000</v>
      </c>
      <c r="AB68" s="178"/>
      <c r="AC68" s="178"/>
      <c r="AD68" s="178"/>
      <c r="AE68" s="178"/>
      <c r="AF68" s="178"/>
      <c r="AG68" s="178"/>
      <c r="AH68" s="178"/>
      <c r="AI68" s="178">
        <v>3000</v>
      </c>
      <c r="AJ68" s="178"/>
      <c r="AK68" s="178"/>
      <c r="AL68" s="178"/>
      <c r="AM68" s="178"/>
      <c r="AN68" s="178"/>
      <c r="AO68" s="178"/>
      <c r="AP68" s="178"/>
      <c r="AQ68" s="178">
        <v>3000</v>
      </c>
      <c r="AR68" s="178"/>
      <c r="AS68" s="178"/>
      <c r="AT68" s="178"/>
      <c r="AU68" s="178"/>
      <c r="AV68" s="178">
        <v>3000</v>
      </c>
      <c r="AW68" s="178"/>
      <c r="AX68" s="178"/>
      <c r="AY68" s="178"/>
      <c r="AZ68" s="178">
        <v>3000</v>
      </c>
      <c r="BA68" s="178"/>
      <c r="BB68" s="178">
        <v>3000</v>
      </c>
      <c r="BC68" s="178"/>
      <c r="BD68" s="178"/>
      <c r="BE68" s="178"/>
      <c r="BF68" s="178"/>
      <c r="BG68" s="178"/>
      <c r="BH68" s="178"/>
      <c r="BI68" s="178"/>
      <c r="BJ68" s="178"/>
      <c r="BK68" s="178"/>
      <c r="BL68" s="178">
        <v>6000</v>
      </c>
      <c r="BM68" s="178"/>
      <c r="BN68" s="178"/>
      <c r="BO68" s="178"/>
      <c r="BP68" s="178"/>
      <c r="BQ68" s="178"/>
      <c r="BR68" s="178"/>
      <c r="BS68" s="178"/>
      <c r="BT68" s="178"/>
      <c r="BU68" s="178"/>
      <c r="BV68" s="178">
        <v>3000</v>
      </c>
      <c r="BW68" s="178"/>
      <c r="BX68" s="178"/>
      <c r="BY68" s="178">
        <v>3000</v>
      </c>
      <c r="BZ68" s="178">
        <v>3000</v>
      </c>
      <c r="CA68" s="178">
        <v>3000</v>
      </c>
      <c r="CB68" s="178"/>
      <c r="CC68" s="179"/>
      <c r="CD68" s="180">
        <v>42000</v>
      </c>
    </row>
    <row r="69" spans="1:82">
      <c r="A69" s="176" t="s">
        <v>101</v>
      </c>
      <c r="B69" s="177"/>
      <c r="C69" s="178"/>
      <c r="D69" s="178"/>
      <c r="E69" s="178">
        <v>9000</v>
      </c>
      <c r="F69" s="178"/>
      <c r="G69" s="178"/>
      <c r="H69" s="178"/>
      <c r="I69" s="178"/>
      <c r="J69" s="178"/>
      <c r="K69" s="178">
        <v>4600</v>
      </c>
      <c r="L69" s="178"/>
      <c r="M69" s="178"/>
      <c r="N69" s="178"/>
      <c r="O69" s="178">
        <v>4800</v>
      </c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>
        <v>4500</v>
      </c>
      <c r="AD69" s="178"/>
      <c r="AE69" s="178"/>
      <c r="AF69" s="178"/>
      <c r="AG69" s="178"/>
      <c r="AH69" s="178"/>
      <c r="AI69" s="178"/>
      <c r="AJ69" s="178">
        <v>4600</v>
      </c>
      <c r="AK69" s="178"/>
      <c r="AL69" s="178"/>
      <c r="AM69" s="178"/>
      <c r="AN69" s="178"/>
      <c r="AO69" s="178"/>
      <c r="AP69" s="178">
        <v>4600</v>
      </c>
      <c r="AQ69" s="178"/>
      <c r="AR69" s="178"/>
      <c r="AS69" s="178"/>
      <c r="AT69" s="178"/>
      <c r="AU69" s="178"/>
      <c r="AV69" s="178"/>
      <c r="AW69" s="178"/>
      <c r="AX69" s="178"/>
      <c r="AY69" s="178"/>
      <c r="AZ69" s="178"/>
      <c r="BA69" s="178"/>
      <c r="BB69" s="178"/>
      <c r="BC69" s="178"/>
      <c r="BD69" s="178"/>
      <c r="BE69" s="178"/>
      <c r="BF69" s="178">
        <v>4500</v>
      </c>
      <c r="BG69" s="178"/>
      <c r="BH69" s="178"/>
      <c r="BI69" s="178"/>
      <c r="BJ69" s="178"/>
      <c r="BK69" s="178"/>
      <c r="BL69" s="178"/>
      <c r="BM69" s="178">
        <v>4600</v>
      </c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>
        <v>4800</v>
      </c>
      <c r="BY69" s="178"/>
      <c r="BZ69" s="178"/>
      <c r="CA69" s="178"/>
      <c r="CB69" s="178"/>
      <c r="CC69" s="179"/>
      <c r="CD69" s="180">
        <v>46000</v>
      </c>
    </row>
    <row r="70" spans="1:82">
      <c r="A70" s="176" t="s">
        <v>344</v>
      </c>
      <c r="B70" s="177"/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>
        <v>3500</v>
      </c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L70" s="178"/>
      <c r="AM70" s="178"/>
      <c r="AN70" s="178"/>
      <c r="AO70" s="178"/>
      <c r="AP70" s="178"/>
      <c r="AQ70" s="178">
        <v>3500</v>
      </c>
      <c r="AR70" s="178"/>
      <c r="AS70" s="178"/>
      <c r="AT70" s="178"/>
      <c r="AU70" s="178"/>
      <c r="AV70" s="178">
        <v>3500</v>
      </c>
      <c r="AW70" s="178"/>
      <c r="AX70" s="178"/>
      <c r="AY70" s="178"/>
      <c r="AZ70" s="178"/>
      <c r="BA70" s="178"/>
      <c r="BB70" s="178">
        <v>3500</v>
      </c>
      <c r="BC70" s="178"/>
      <c r="BD70" s="178"/>
      <c r="BE70" s="178"/>
      <c r="BF70" s="178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>
        <v>3500</v>
      </c>
      <c r="BW70" s="178"/>
      <c r="BX70" s="178"/>
      <c r="BY70" s="178">
        <v>3500</v>
      </c>
      <c r="BZ70" s="178">
        <v>3500</v>
      </c>
      <c r="CA70" s="178">
        <v>3500</v>
      </c>
      <c r="CB70" s="178"/>
      <c r="CC70" s="179"/>
      <c r="CD70" s="180">
        <v>28000</v>
      </c>
    </row>
    <row r="71" spans="1:82">
      <c r="A71" s="176" t="s">
        <v>155</v>
      </c>
      <c r="B71" s="177"/>
      <c r="C71" s="178"/>
      <c r="D71" s="178"/>
      <c r="E71" s="178"/>
      <c r="F71" s="178"/>
      <c r="G71" s="178">
        <v>8700</v>
      </c>
      <c r="H71" s="178"/>
      <c r="I71" s="178"/>
      <c r="J71" s="178"/>
      <c r="K71" s="178">
        <v>9000</v>
      </c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>
        <v>9000</v>
      </c>
      <c r="AD71" s="178"/>
      <c r="AE71" s="178"/>
      <c r="AF71" s="178"/>
      <c r="AG71" s="178"/>
      <c r="AH71" s="178"/>
      <c r="AI71" s="178"/>
      <c r="AJ71" s="178"/>
      <c r="AK71" s="178"/>
      <c r="AL71" s="178"/>
      <c r="AM71" s="178"/>
      <c r="AN71" s="178"/>
      <c r="AO71" s="178"/>
      <c r="AP71" s="178">
        <v>9000</v>
      </c>
      <c r="AQ71" s="178"/>
      <c r="AR71" s="178">
        <v>9000</v>
      </c>
      <c r="AS71" s="178"/>
      <c r="AT71" s="178"/>
      <c r="AU71" s="178"/>
      <c r="AV71" s="178"/>
      <c r="AW71" s="178"/>
      <c r="AX71" s="178"/>
      <c r="AY71" s="178"/>
      <c r="AZ71" s="178"/>
      <c r="BA71" s="178"/>
      <c r="BB71" s="178"/>
      <c r="BC71" s="178"/>
      <c r="BD71" s="178"/>
      <c r="BE71" s="178"/>
      <c r="BF71" s="178">
        <v>9000</v>
      </c>
      <c r="BG71" s="178"/>
      <c r="BH71" s="178"/>
      <c r="BI71" s="178"/>
      <c r="BJ71" s="178"/>
      <c r="BK71" s="178"/>
      <c r="BL71" s="178"/>
      <c r="BM71" s="178">
        <v>9000</v>
      </c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9"/>
      <c r="CD71" s="180">
        <v>62700</v>
      </c>
    </row>
    <row r="72" spans="1:82">
      <c r="A72" s="176" t="s">
        <v>74</v>
      </c>
      <c r="B72" s="177"/>
      <c r="C72" s="178">
        <v>6200</v>
      </c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>
        <v>3100</v>
      </c>
      <c r="Q72" s="178"/>
      <c r="R72" s="178"/>
      <c r="S72" s="178">
        <v>3100</v>
      </c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  <c r="AJ72" s="178"/>
      <c r="AK72" s="178"/>
      <c r="AL72" s="178"/>
      <c r="AM72" s="178"/>
      <c r="AN72" s="178"/>
      <c r="AO72" s="178"/>
      <c r="AP72" s="178"/>
      <c r="AQ72" s="178"/>
      <c r="AR72" s="178"/>
      <c r="AS72" s="178">
        <v>6200</v>
      </c>
      <c r="AT72" s="178"/>
      <c r="AU72" s="178"/>
      <c r="AV72" s="178"/>
      <c r="AW72" s="178">
        <v>3000</v>
      </c>
      <c r="AX72" s="178"/>
      <c r="AY72" s="178"/>
      <c r="AZ72" s="178"/>
      <c r="BA72" s="178"/>
      <c r="BB72" s="178"/>
      <c r="BC72" s="178">
        <v>3100</v>
      </c>
      <c r="BD72" s="178"/>
      <c r="BE72" s="178"/>
      <c r="BF72" s="178"/>
      <c r="BG72" s="178"/>
      <c r="BH72" s="178"/>
      <c r="BI72" s="178">
        <v>3100</v>
      </c>
      <c r="BJ72" s="178"/>
      <c r="BK72" s="178"/>
      <c r="BL72" s="178"/>
      <c r="BM72" s="178"/>
      <c r="BN72" s="178"/>
      <c r="BO72" s="178"/>
      <c r="BP72" s="178">
        <v>3100</v>
      </c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  <c r="CB72" s="178"/>
      <c r="CC72" s="179"/>
      <c r="CD72" s="180">
        <v>30900</v>
      </c>
    </row>
    <row r="73" spans="1:82">
      <c r="A73" s="176" t="s">
        <v>110</v>
      </c>
      <c r="B73" s="177"/>
      <c r="C73" s="178"/>
      <c r="D73" s="178"/>
      <c r="E73" s="178"/>
      <c r="F73" s="178"/>
      <c r="G73" s="178"/>
      <c r="H73" s="178"/>
      <c r="I73" s="178"/>
      <c r="J73" s="178">
        <v>2700</v>
      </c>
      <c r="K73" s="178"/>
      <c r="L73" s="178"/>
      <c r="M73" s="178"/>
      <c r="N73" s="178">
        <v>2800</v>
      </c>
      <c r="O73" s="178"/>
      <c r="P73" s="178"/>
      <c r="Q73" s="178">
        <v>2700</v>
      </c>
      <c r="R73" s="178"/>
      <c r="S73" s="178">
        <v>2500</v>
      </c>
      <c r="T73" s="178">
        <v>2700</v>
      </c>
      <c r="U73" s="178"/>
      <c r="V73" s="178"/>
      <c r="W73" s="178"/>
      <c r="X73" s="178"/>
      <c r="Y73" s="178"/>
      <c r="Z73" s="178">
        <v>2500</v>
      </c>
      <c r="AA73" s="178">
        <v>2700</v>
      </c>
      <c r="AB73" s="178"/>
      <c r="AC73" s="178"/>
      <c r="AD73" s="178"/>
      <c r="AE73" s="178"/>
      <c r="AF73" s="178"/>
      <c r="AG73" s="178">
        <v>2500</v>
      </c>
      <c r="AH73" s="178"/>
      <c r="AI73" s="178">
        <v>2700</v>
      </c>
      <c r="AJ73" s="178"/>
      <c r="AK73" s="178"/>
      <c r="AL73" s="178"/>
      <c r="AM73" s="178"/>
      <c r="AN73" s="178"/>
      <c r="AO73" s="178">
        <v>2700</v>
      </c>
      <c r="AP73" s="178"/>
      <c r="AQ73" s="178">
        <v>2800</v>
      </c>
      <c r="AR73" s="178"/>
      <c r="AS73" s="178"/>
      <c r="AT73" s="178"/>
      <c r="AU73" s="178">
        <v>2700</v>
      </c>
      <c r="AV73" s="178">
        <v>2800</v>
      </c>
      <c r="AW73" s="178"/>
      <c r="AX73" s="178">
        <v>17500</v>
      </c>
      <c r="AY73" s="178">
        <v>2500</v>
      </c>
      <c r="AZ73" s="178">
        <v>2700</v>
      </c>
      <c r="BA73" s="178">
        <v>2700</v>
      </c>
      <c r="BB73" s="178">
        <v>2800</v>
      </c>
      <c r="BC73" s="178">
        <v>2500</v>
      </c>
      <c r="BD73" s="178">
        <v>2700</v>
      </c>
      <c r="BE73" s="178"/>
      <c r="BF73" s="178"/>
      <c r="BG73" s="178"/>
      <c r="BH73" s="178"/>
      <c r="BI73" s="178">
        <v>2500</v>
      </c>
      <c r="BJ73" s="178"/>
      <c r="BK73" s="178">
        <v>2700</v>
      </c>
      <c r="BL73" s="178"/>
      <c r="BM73" s="178"/>
      <c r="BN73" s="178"/>
      <c r="BO73" s="178"/>
      <c r="BP73" s="178"/>
      <c r="BQ73" s="178">
        <v>2700</v>
      </c>
      <c r="BR73" s="178"/>
      <c r="BS73" s="178"/>
      <c r="BT73" s="178"/>
      <c r="BU73" s="178"/>
      <c r="BV73" s="178">
        <v>2800</v>
      </c>
      <c r="BW73" s="178"/>
      <c r="BX73" s="178"/>
      <c r="BY73" s="178">
        <v>2800</v>
      </c>
      <c r="BZ73" s="178">
        <v>2800</v>
      </c>
      <c r="CA73" s="178">
        <v>2800</v>
      </c>
      <c r="CB73" s="178"/>
      <c r="CC73" s="179"/>
      <c r="CD73" s="180">
        <v>87300</v>
      </c>
    </row>
    <row r="74" spans="1:82">
      <c r="A74" s="176" t="s">
        <v>289</v>
      </c>
      <c r="B74" s="177"/>
      <c r="C74" s="178"/>
      <c r="D74" s="178"/>
      <c r="E74" s="178"/>
      <c r="F74" s="178"/>
      <c r="G74" s="178"/>
      <c r="H74" s="178"/>
      <c r="I74" s="178"/>
      <c r="J74" s="178"/>
      <c r="K74" s="178">
        <v>6600</v>
      </c>
      <c r="L74" s="178"/>
      <c r="M74" s="178"/>
      <c r="N74" s="178">
        <v>2300</v>
      </c>
      <c r="O74" s="178"/>
      <c r="P74" s="178"/>
      <c r="Q74" s="178">
        <v>2200</v>
      </c>
      <c r="R74" s="178"/>
      <c r="S74" s="178"/>
      <c r="T74" s="178">
        <v>2200</v>
      </c>
      <c r="U74" s="178"/>
      <c r="V74" s="178"/>
      <c r="W74" s="178"/>
      <c r="X74" s="178"/>
      <c r="Y74" s="178"/>
      <c r="Z74" s="178"/>
      <c r="AA74" s="178">
        <v>2200</v>
      </c>
      <c r="AB74" s="178"/>
      <c r="AC74" s="178">
        <v>6600</v>
      </c>
      <c r="AD74" s="178"/>
      <c r="AE74" s="178"/>
      <c r="AF74" s="178"/>
      <c r="AG74" s="178"/>
      <c r="AH74" s="178"/>
      <c r="AI74" s="178">
        <v>2200</v>
      </c>
      <c r="AJ74" s="178"/>
      <c r="AK74" s="178"/>
      <c r="AL74" s="178"/>
      <c r="AM74" s="178"/>
      <c r="AN74" s="178"/>
      <c r="AO74" s="178">
        <v>2200</v>
      </c>
      <c r="AP74" s="178"/>
      <c r="AQ74" s="178">
        <v>2300</v>
      </c>
      <c r="AR74" s="178"/>
      <c r="AS74" s="178"/>
      <c r="AT74" s="178"/>
      <c r="AU74" s="178"/>
      <c r="AV74" s="178">
        <v>2300</v>
      </c>
      <c r="AW74" s="178"/>
      <c r="AX74" s="178"/>
      <c r="AY74" s="178"/>
      <c r="AZ74" s="178">
        <v>2200</v>
      </c>
      <c r="BA74" s="178"/>
      <c r="BB74" s="178">
        <v>2300</v>
      </c>
      <c r="BC74" s="178"/>
      <c r="BD74" s="178">
        <v>2200</v>
      </c>
      <c r="BE74" s="178"/>
      <c r="BF74" s="178"/>
      <c r="BG74" s="178"/>
      <c r="BH74" s="178"/>
      <c r="BI74" s="178"/>
      <c r="BJ74" s="178"/>
      <c r="BK74" s="178">
        <v>2200</v>
      </c>
      <c r="BL74" s="178"/>
      <c r="BM74" s="178"/>
      <c r="BN74" s="178"/>
      <c r="BO74" s="178"/>
      <c r="BP74" s="178"/>
      <c r="BQ74" s="178">
        <v>2200</v>
      </c>
      <c r="BR74" s="178"/>
      <c r="BS74" s="178"/>
      <c r="BT74" s="178"/>
      <c r="BU74" s="178"/>
      <c r="BV74" s="178">
        <v>2300</v>
      </c>
      <c r="BW74" s="178"/>
      <c r="BX74" s="178"/>
      <c r="BY74" s="178">
        <v>2300</v>
      </c>
      <c r="BZ74" s="178">
        <v>2300</v>
      </c>
      <c r="CA74" s="178">
        <v>2300</v>
      </c>
      <c r="CB74" s="178"/>
      <c r="CC74" s="179"/>
      <c r="CD74" s="180">
        <v>51400</v>
      </c>
    </row>
    <row r="75" spans="1:82">
      <c r="A75" s="176" t="s">
        <v>356</v>
      </c>
      <c r="B75" s="177"/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>
        <v>18000</v>
      </c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8"/>
      <c r="AK75" s="178"/>
      <c r="AL75" s="178"/>
      <c r="AM75" s="178"/>
      <c r="AN75" s="178"/>
      <c r="AO75" s="178"/>
      <c r="AP75" s="178"/>
      <c r="AQ75" s="178">
        <v>6000</v>
      </c>
      <c r="AR75" s="178"/>
      <c r="AS75" s="178"/>
      <c r="AT75" s="178"/>
      <c r="AU75" s="178"/>
      <c r="AV75" s="178"/>
      <c r="AW75" s="178"/>
      <c r="AX75" s="178"/>
      <c r="AY75" s="178"/>
      <c r="AZ75" s="178"/>
      <c r="BA75" s="178"/>
      <c r="BB75" s="178"/>
      <c r="BC75" s="178"/>
      <c r="BD75" s="178"/>
      <c r="BE75" s="178"/>
      <c r="BF75" s="178"/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>
        <v>6000</v>
      </c>
      <c r="BW75" s="178"/>
      <c r="BX75" s="178"/>
      <c r="BY75" s="178">
        <v>6000</v>
      </c>
      <c r="BZ75" s="178">
        <v>6000</v>
      </c>
      <c r="CA75" s="178">
        <v>6000</v>
      </c>
      <c r="CB75" s="178"/>
      <c r="CC75" s="179"/>
      <c r="CD75" s="180">
        <v>48000</v>
      </c>
    </row>
    <row r="76" spans="1:82">
      <c r="A76" s="176" t="s">
        <v>230</v>
      </c>
      <c r="B76" s="177"/>
      <c r="C76" s="178"/>
      <c r="D76" s="178"/>
      <c r="E76" s="178"/>
      <c r="F76" s="178"/>
      <c r="G76" s="178"/>
      <c r="H76" s="178"/>
      <c r="I76" s="178">
        <v>17000</v>
      </c>
      <c r="J76" s="178"/>
      <c r="K76" s="178"/>
      <c r="L76" s="178">
        <v>17600</v>
      </c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7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7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9"/>
      <c r="CD76" s="180">
        <v>34600</v>
      </c>
    </row>
    <row r="77" spans="1:82">
      <c r="A77" s="176" t="s">
        <v>127</v>
      </c>
      <c r="B77" s="177"/>
      <c r="C77" s="178"/>
      <c r="D77" s="178"/>
      <c r="E77" s="178"/>
      <c r="F77" s="178"/>
      <c r="G77" s="178">
        <v>16200</v>
      </c>
      <c r="H77" s="178"/>
      <c r="I77" s="178"/>
      <c r="J77" s="178">
        <v>5500</v>
      </c>
      <c r="K77" s="178"/>
      <c r="L77" s="178"/>
      <c r="M77" s="178"/>
      <c r="N77" s="178">
        <v>5600</v>
      </c>
      <c r="O77" s="178"/>
      <c r="P77" s="178">
        <v>5400</v>
      </c>
      <c r="Q77" s="178">
        <v>5500</v>
      </c>
      <c r="R77" s="178"/>
      <c r="S77" s="178">
        <v>5400</v>
      </c>
      <c r="T77" s="178">
        <v>5500</v>
      </c>
      <c r="U77" s="178"/>
      <c r="V77" s="178"/>
      <c r="W77" s="178"/>
      <c r="X77" s="178"/>
      <c r="Y77" s="178"/>
      <c r="Z77" s="178">
        <v>5400</v>
      </c>
      <c r="AA77" s="178">
        <v>5500</v>
      </c>
      <c r="AB77" s="178"/>
      <c r="AC77" s="178"/>
      <c r="AD77" s="178"/>
      <c r="AE77" s="178"/>
      <c r="AF77" s="178"/>
      <c r="AG77" s="178">
        <v>5400</v>
      </c>
      <c r="AH77" s="178"/>
      <c r="AI77" s="178">
        <v>5500</v>
      </c>
      <c r="AJ77" s="178"/>
      <c r="AK77" s="178"/>
      <c r="AL77" s="178"/>
      <c r="AM77" s="178"/>
      <c r="AN77" s="178">
        <v>5400</v>
      </c>
      <c r="AO77" s="178">
        <v>5500</v>
      </c>
      <c r="AP77" s="178"/>
      <c r="AQ77" s="178">
        <v>5600</v>
      </c>
      <c r="AR77" s="178"/>
      <c r="AS77" s="178"/>
      <c r="AT77" s="178"/>
      <c r="AU77" s="178">
        <v>5500</v>
      </c>
      <c r="AV77" s="178">
        <v>5600</v>
      </c>
      <c r="AW77" s="178">
        <v>5400</v>
      </c>
      <c r="AX77" s="178"/>
      <c r="AY77" s="178">
        <v>5400</v>
      </c>
      <c r="AZ77" s="178">
        <v>5500</v>
      </c>
      <c r="BA77" s="178">
        <v>5500</v>
      </c>
      <c r="BB77" s="178">
        <v>5600</v>
      </c>
      <c r="BC77" s="178">
        <v>5400</v>
      </c>
      <c r="BD77" s="178">
        <v>5500</v>
      </c>
      <c r="BE77" s="178"/>
      <c r="BF77" s="178"/>
      <c r="BG77" s="178"/>
      <c r="BH77" s="178"/>
      <c r="BI77" s="178">
        <v>5400</v>
      </c>
      <c r="BJ77" s="178"/>
      <c r="BK77" s="178">
        <v>5500</v>
      </c>
      <c r="BL77" s="178"/>
      <c r="BM77" s="178"/>
      <c r="BN77" s="178"/>
      <c r="BO77" s="178"/>
      <c r="BP77" s="178">
        <v>5400</v>
      </c>
      <c r="BQ77" s="178">
        <v>5500</v>
      </c>
      <c r="BR77" s="178"/>
      <c r="BS77" s="178"/>
      <c r="BT77" s="178"/>
      <c r="BU77" s="178"/>
      <c r="BV77" s="178">
        <v>5600</v>
      </c>
      <c r="BW77" s="178"/>
      <c r="BX77" s="178"/>
      <c r="BY77" s="178">
        <v>5600</v>
      </c>
      <c r="BZ77" s="178">
        <v>5600</v>
      </c>
      <c r="CA77" s="178">
        <v>5600</v>
      </c>
      <c r="CB77" s="178"/>
      <c r="CC77" s="179"/>
      <c r="CD77" s="180">
        <v>181000</v>
      </c>
    </row>
    <row r="78" spans="1:82">
      <c r="A78" s="176" t="s">
        <v>114</v>
      </c>
      <c r="B78" s="177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7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7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  <c r="CB78" s="178"/>
      <c r="CC78" s="179"/>
      <c r="CD78" s="180"/>
    </row>
    <row r="79" spans="1:82">
      <c r="A79" s="176" t="s">
        <v>170</v>
      </c>
      <c r="B79" s="181"/>
      <c r="C79" s="182">
        <v>5800</v>
      </c>
      <c r="D79" s="182"/>
      <c r="E79" s="182"/>
      <c r="F79" s="182"/>
      <c r="G79" s="182"/>
      <c r="H79" s="182"/>
      <c r="I79" s="182"/>
      <c r="J79" s="182">
        <v>3200</v>
      </c>
      <c r="K79" s="182"/>
      <c r="L79" s="182"/>
      <c r="M79" s="182"/>
      <c r="N79" s="182">
        <v>3300</v>
      </c>
      <c r="O79" s="182"/>
      <c r="P79" s="182">
        <v>2900</v>
      </c>
      <c r="Q79" s="182">
        <v>3200</v>
      </c>
      <c r="R79" s="182"/>
      <c r="S79" s="182">
        <v>2900</v>
      </c>
      <c r="T79" s="182">
        <v>3200</v>
      </c>
      <c r="U79" s="182"/>
      <c r="V79" s="182"/>
      <c r="W79" s="182"/>
      <c r="X79" s="182"/>
      <c r="Y79" s="182"/>
      <c r="Z79" s="182">
        <v>3200</v>
      </c>
      <c r="AA79" s="182">
        <v>3200</v>
      </c>
      <c r="AB79" s="182"/>
      <c r="AC79" s="182"/>
      <c r="AD79" s="182"/>
      <c r="AE79" s="182"/>
      <c r="AF79" s="182"/>
      <c r="AG79" s="182">
        <v>4100</v>
      </c>
      <c r="AH79" s="182"/>
      <c r="AI79" s="182">
        <v>3200</v>
      </c>
      <c r="AJ79" s="182"/>
      <c r="AK79" s="182"/>
      <c r="AL79" s="182"/>
      <c r="AM79" s="182"/>
      <c r="AN79" s="182">
        <v>2900</v>
      </c>
      <c r="AO79" s="182">
        <v>3200</v>
      </c>
      <c r="AP79" s="182"/>
      <c r="AQ79" s="182">
        <v>3300</v>
      </c>
      <c r="AR79" s="182"/>
      <c r="AS79" s="182"/>
      <c r="AT79" s="182">
        <v>2900</v>
      </c>
      <c r="AU79" s="182">
        <v>3200</v>
      </c>
      <c r="AV79" s="182">
        <v>3300</v>
      </c>
      <c r="AW79" s="182"/>
      <c r="AX79" s="182"/>
      <c r="AY79" s="182">
        <v>3200</v>
      </c>
      <c r="AZ79" s="182">
        <v>3200</v>
      </c>
      <c r="BA79" s="182">
        <v>3200</v>
      </c>
      <c r="BB79" s="182">
        <v>3300</v>
      </c>
      <c r="BC79" s="182">
        <v>2900</v>
      </c>
      <c r="BD79" s="182">
        <v>3200</v>
      </c>
      <c r="BE79" s="182"/>
      <c r="BF79" s="182"/>
      <c r="BG79" s="182"/>
      <c r="BH79" s="182"/>
      <c r="BI79" s="182">
        <v>2900</v>
      </c>
      <c r="BJ79" s="182"/>
      <c r="BK79" s="182">
        <v>3200</v>
      </c>
      <c r="BL79" s="182"/>
      <c r="BM79" s="182"/>
      <c r="BN79" s="182"/>
      <c r="BO79" s="182"/>
      <c r="BP79" s="182">
        <v>2900</v>
      </c>
      <c r="BQ79" s="182">
        <v>3200</v>
      </c>
      <c r="BR79" s="182"/>
      <c r="BS79" s="182"/>
      <c r="BT79" s="182"/>
      <c r="BU79" s="182"/>
      <c r="BV79" s="182">
        <v>3300</v>
      </c>
      <c r="BW79" s="182"/>
      <c r="BX79" s="182"/>
      <c r="BY79" s="182">
        <v>3300</v>
      </c>
      <c r="BZ79" s="182">
        <v>3300</v>
      </c>
      <c r="CA79" s="182">
        <v>3300</v>
      </c>
      <c r="CB79" s="182"/>
      <c r="CC79" s="183">
        <v>3300</v>
      </c>
      <c r="CD79" s="184">
        <v>104700</v>
      </c>
    </row>
    <row r="80" spans="1:82">
      <c r="A80" s="185" t="s">
        <v>381</v>
      </c>
      <c r="B80" s="186">
        <v>3000</v>
      </c>
      <c r="C80" s="187">
        <v>138336</v>
      </c>
      <c r="D80" s="187">
        <v>4800</v>
      </c>
      <c r="E80" s="187">
        <v>77600</v>
      </c>
      <c r="F80" s="187">
        <v>9000</v>
      </c>
      <c r="G80" s="187">
        <v>171100</v>
      </c>
      <c r="H80" s="187">
        <v>27000</v>
      </c>
      <c r="I80" s="187">
        <v>87300</v>
      </c>
      <c r="J80" s="187">
        <v>91900</v>
      </c>
      <c r="K80" s="187">
        <v>82200</v>
      </c>
      <c r="L80" s="187">
        <v>98900</v>
      </c>
      <c r="M80" s="187">
        <v>7800</v>
      </c>
      <c r="N80" s="187">
        <v>97800</v>
      </c>
      <c r="O80" s="187">
        <v>189800</v>
      </c>
      <c r="P80" s="187">
        <v>82100</v>
      </c>
      <c r="Q80" s="187">
        <v>98800</v>
      </c>
      <c r="R80" s="187">
        <v>14400</v>
      </c>
      <c r="S80" s="187">
        <v>126438</v>
      </c>
      <c r="T80" s="187">
        <v>101800</v>
      </c>
      <c r="U80" s="187">
        <v>10000</v>
      </c>
      <c r="V80" s="187">
        <v>5000</v>
      </c>
      <c r="W80" s="187">
        <v>3000</v>
      </c>
      <c r="X80" s="187">
        <v>17000</v>
      </c>
      <c r="Y80" s="187">
        <v>5000</v>
      </c>
      <c r="Z80" s="187">
        <v>119636</v>
      </c>
      <c r="AA80" s="187">
        <v>101800</v>
      </c>
      <c r="AB80" s="187">
        <v>69800</v>
      </c>
      <c r="AC80" s="187">
        <v>20100</v>
      </c>
      <c r="AD80" s="187">
        <v>3300</v>
      </c>
      <c r="AE80" s="187">
        <v>16200</v>
      </c>
      <c r="AF80" s="187">
        <v>7500</v>
      </c>
      <c r="AG80" s="187">
        <v>123156</v>
      </c>
      <c r="AH80" s="187">
        <v>13700</v>
      </c>
      <c r="AI80" s="187">
        <v>101800</v>
      </c>
      <c r="AJ80" s="187">
        <v>71500</v>
      </c>
      <c r="AK80" s="187">
        <v>18300</v>
      </c>
      <c r="AL80" s="187">
        <v>9600</v>
      </c>
      <c r="AM80" s="187">
        <v>40332</v>
      </c>
      <c r="AN80" s="187">
        <v>77000</v>
      </c>
      <c r="AO80" s="187">
        <v>99800</v>
      </c>
      <c r="AP80" s="187">
        <v>92100</v>
      </c>
      <c r="AQ80" s="187">
        <v>122800</v>
      </c>
      <c r="AR80" s="187">
        <v>65100</v>
      </c>
      <c r="AS80" s="187">
        <v>12200</v>
      </c>
      <c r="AT80" s="187">
        <v>59434</v>
      </c>
      <c r="AU80" s="187">
        <v>91900</v>
      </c>
      <c r="AV80" s="187">
        <v>99300</v>
      </c>
      <c r="AW80" s="187">
        <v>47500</v>
      </c>
      <c r="AX80" s="187">
        <v>52500</v>
      </c>
      <c r="AY80" s="187">
        <v>103016</v>
      </c>
      <c r="AZ80" s="187">
        <v>101800</v>
      </c>
      <c r="BA80" s="187">
        <v>91900</v>
      </c>
      <c r="BB80" s="187">
        <v>97800</v>
      </c>
      <c r="BC80" s="187">
        <v>118854</v>
      </c>
      <c r="BD80" s="187">
        <v>98800</v>
      </c>
      <c r="BE80" s="187">
        <v>130708</v>
      </c>
      <c r="BF80" s="187">
        <v>69700</v>
      </c>
      <c r="BG80" s="187">
        <v>5000</v>
      </c>
      <c r="BH80" s="187">
        <v>12000</v>
      </c>
      <c r="BI80" s="187">
        <v>125274</v>
      </c>
      <c r="BJ80" s="187">
        <v>13200</v>
      </c>
      <c r="BK80" s="187">
        <v>98800</v>
      </c>
      <c r="BL80" s="187">
        <v>6000</v>
      </c>
      <c r="BM80" s="187">
        <v>105800</v>
      </c>
      <c r="BN80" s="187">
        <v>5400</v>
      </c>
      <c r="BO80" s="187">
        <v>6500</v>
      </c>
      <c r="BP80" s="187">
        <v>110877</v>
      </c>
      <c r="BQ80" s="187">
        <v>98800</v>
      </c>
      <c r="BR80" s="187">
        <v>2000</v>
      </c>
      <c r="BS80" s="187"/>
      <c r="BT80" s="187">
        <v>51500</v>
      </c>
      <c r="BU80" s="187">
        <v>5500</v>
      </c>
      <c r="BV80" s="187">
        <v>120000</v>
      </c>
      <c r="BW80" s="187">
        <v>5600</v>
      </c>
      <c r="BX80" s="187">
        <v>115600</v>
      </c>
      <c r="BY80" s="187">
        <v>121000</v>
      </c>
      <c r="BZ80" s="187">
        <v>117400</v>
      </c>
      <c r="CA80" s="187">
        <v>121700</v>
      </c>
      <c r="CB80" s="187">
        <v>14100</v>
      </c>
      <c r="CC80" s="188">
        <v>3300</v>
      </c>
      <c r="CD80" s="189">
        <v>5164361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D159"/>
  <sheetViews>
    <sheetView topLeftCell="A135" zoomScaleNormal="100" workbookViewId="0">
      <selection activeCell="D151" sqref="D151"/>
    </sheetView>
  </sheetViews>
  <sheetFormatPr defaultColWidth="10.19921875" defaultRowHeight="13.8"/>
  <cols>
    <col min="1" max="1" width="6.19921875" customWidth="1"/>
    <col min="2" max="2" width="39.3984375" customWidth="1"/>
    <col min="4" max="4" width="28.09765625" bestFit="1" customWidth="1"/>
  </cols>
  <sheetData>
    <row r="1" spans="1:4">
      <c r="A1" s="190" t="s">
        <v>140</v>
      </c>
      <c r="B1" s="191"/>
      <c r="C1" s="192" t="s">
        <v>382</v>
      </c>
      <c r="D1" s="193">
        <v>3797</v>
      </c>
    </row>
    <row r="2" spans="1:4">
      <c r="A2" t="s">
        <v>383</v>
      </c>
      <c r="B2" t="s">
        <v>384</v>
      </c>
      <c r="C2" t="s">
        <v>68</v>
      </c>
      <c r="D2" t="s">
        <v>385</v>
      </c>
    </row>
    <row r="3" spans="1:4">
      <c r="A3" t="s">
        <v>115</v>
      </c>
      <c r="B3" s="6" t="s">
        <v>28</v>
      </c>
      <c r="C3">
        <v>5100</v>
      </c>
      <c r="D3" t="s">
        <v>386</v>
      </c>
    </row>
    <row r="4" spans="1:4">
      <c r="A4" t="s">
        <v>115</v>
      </c>
      <c r="B4" s="6" t="s">
        <v>30</v>
      </c>
      <c r="C4">
        <v>12000</v>
      </c>
      <c r="D4" t="s">
        <v>386</v>
      </c>
    </row>
    <row r="5" spans="1:4">
      <c r="A5" t="s">
        <v>115</v>
      </c>
      <c r="B5" s="6" t="s">
        <v>32</v>
      </c>
      <c r="C5">
        <v>9000</v>
      </c>
      <c r="D5" t="s">
        <v>386</v>
      </c>
    </row>
    <row r="6" spans="1:4">
      <c r="A6" t="s">
        <v>115</v>
      </c>
      <c r="B6" s="6" t="s">
        <v>34</v>
      </c>
      <c r="C6">
        <v>10500</v>
      </c>
      <c r="D6" t="s">
        <v>386</v>
      </c>
    </row>
    <row r="7" spans="1:4">
      <c r="A7" t="s">
        <v>115</v>
      </c>
      <c r="B7" s="6" t="s">
        <v>36</v>
      </c>
      <c r="C7">
        <v>1500</v>
      </c>
      <c r="D7" t="s">
        <v>386</v>
      </c>
    </row>
    <row r="8" spans="1:4">
      <c r="A8" t="s">
        <v>115</v>
      </c>
      <c r="B8" s="6" t="s">
        <v>387</v>
      </c>
      <c r="C8">
        <v>1500</v>
      </c>
      <c r="D8" t="s">
        <v>363</v>
      </c>
    </row>
    <row r="9" spans="1:4">
      <c r="B9" t="s">
        <v>388</v>
      </c>
      <c r="C9" s="62">
        <f>SUM(C3:C8)</f>
        <v>39600</v>
      </c>
    </row>
    <row r="11" spans="1:4">
      <c r="A11" s="190" t="s">
        <v>140</v>
      </c>
      <c r="B11" s="191"/>
      <c r="C11" s="192" t="s">
        <v>382</v>
      </c>
      <c r="D11" s="193">
        <v>3798</v>
      </c>
    </row>
    <row r="12" spans="1:4">
      <c r="A12" t="s">
        <v>383</v>
      </c>
      <c r="B12" t="s">
        <v>384</v>
      </c>
      <c r="C12" t="s">
        <v>68</v>
      </c>
      <c r="D12" t="s">
        <v>385</v>
      </c>
    </row>
    <row r="13" spans="1:4" ht="27.6">
      <c r="A13" t="s">
        <v>115</v>
      </c>
      <c r="B13" s="194" t="s">
        <v>389</v>
      </c>
      <c r="C13">
        <v>7000</v>
      </c>
      <c r="D13" t="s">
        <v>386</v>
      </c>
    </row>
    <row r="14" spans="1:4">
      <c r="B14" t="s">
        <v>388</v>
      </c>
      <c r="C14" s="62">
        <f>SUM(C13)</f>
        <v>7000</v>
      </c>
    </row>
    <row r="16" spans="1:4">
      <c r="A16" s="190" t="s">
        <v>140</v>
      </c>
      <c r="B16" s="191"/>
      <c r="C16" s="192" t="s">
        <v>382</v>
      </c>
      <c r="D16" s="193">
        <v>1884</v>
      </c>
    </row>
    <row r="17" spans="1:4">
      <c r="A17" t="s">
        <v>383</v>
      </c>
      <c r="B17" t="s">
        <v>384</v>
      </c>
      <c r="C17" t="s">
        <v>68</v>
      </c>
      <c r="D17" t="s">
        <v>385</v>
      </c>
    </row>
    <row r="18" spans="1:4">
      <c r="A18" t="s">
        <v>73</v>
      </c>
      <c r="B18" s="6" t="s">
        <v>48</v>
      </c>
      <c r="C18">
        <v>12000</v>
      </c>
      <c r="D18" t="s">
        <v>386</v>
      </c>
    </row>
    <row r="19" spans="1:4">
      <c r="A19" t="s">
        <v>73</v>
      </c>
      <c r="B19" s="6" t="s">
        <v>49</v>
      </c>
      <c r="C19">
        <v>3000</v>
      </c>
      <c r="D19" t="s">
        <v>386</v>
      </c>
    </row>
    <row r="20" spans="1:4">
      <c r="A20" t="s">
        <v>73</v>
      </c>
      <c r="B20" s="27" t="s">
        <v>51</v>
      </c>
      <c r="C20">
        <v>7500</v>
      </c>
      <c r="D20" t="s">
        <v>386</v>
      </c>
    </row>
    <row r="21" spans="1:4">
      <c r="A21" t="s">
        <v>73</v>
      </c>
      <c r="B21" s="6" t="s">
        <v>53</v>
      </c>
      <c r="C21">
        <v>7500</v>
      </c>
      <c r="D21" t="s">
        <v>386</v>
      </c>
    </row>
    <row r="22" spans="1:4">
      <c r="A22" t="s">
        <v>73</v>
      </c>
      <c r="B22" s="77" t="s">
        <v>390</v>
      </c>
      <c r="C22">
        <v>3000</v>
      </c>
      <c r="D22" t="s">
        <v>386</v>
      </c>
    </row>
    <row r="23" spans="1:4">
      <c r="B23" s="62" t="s">
        <v>388</v>
      </c>
      <c r="C23" s="62">
        <f>SUM(C18:C22)</f>
        <v>33000</v>
      </c>
    </row>
    <row r="25" spans="1:4" ht="15.6">
      <c r="B25" s="195" t="s">
        <v>391</v>
      </c>
      <c r="C25" s="196">
        <f>+C9+C14+C23</f>
        <v>79600</v>
      </c>
    </row>
    <row r="27" spans="1:4">
      <c r="A27" s="197" t="s">
        <v>140</v>
      </c>
      <c r="B27" s="198"/>
      <c r="C27" s="199" t="s">
        <v>382</v>
      </c>
      <c r="D27" s="200">
        <v>3848</v>
      </c>
    </row>
    <row r="28" spans="1:4">
      <c r="A28" s="61" t="s">
        <v>383</v>
      </c>
      <c r="B28" t="s">
        <v>384</v>
      </c>
      <c r="C28" t="s">
        <v>68</v>
      </c>
      <c r="D28" s="201" t="s">
        <v>385</v>
      </c>
    </row>
    <row r="29" spans="1:4">
      <c r="A29" s="61" t="s">
        <v>115</v>
      </c>
      <c r="B29" s="6" t="s">
        <v>28</v>
      </c>
      <c r="C29">
        <f>1700*3</f>
        <v>5100</v>
      </c>
      <c r="D29" s="201" t="s">
        <v>392</v>
      </c>
    </row>
    <row r="30" spans="1:4">
      <c r="A30" s="61" t="s">
        <v>115</v>
      </c>
      <c r="B30" s="6" t="s">
        <v>30</v>
      </c>
      <c r="C30">
        <f>4000*3</f>
        <v>12000</v>
      </c>
      <c r="D30" s="201" t="s">
        <v>392</v>
      </c>
    </row>
    <row r="31" spans="1:4">
      <c r="A31" s="61" t="s">
        <v>115</v>
      </c>
      <c r="B31" s="6" t="s">
        <v>32</v>
      </c>
      <c r="C31">
        <f>3000*3</f>
        <v>9000</v>
      </c>
      <c r="D31" s="201" t="s">
        <v>392</v>
      </c>
    </row>
    <row r="32" spans="1:4">
      <c r="A32" s="61" t="s">
        <v>115</v>
      </c>
      <c r="B32" s="6" t="s">
        <v>34</v>
      </c>
      <c r="C32">
        <f>3500*3</f>
        <v>10500</v>
      </c>
      <c r="D32" s="201" t="s">
        <v>392</v>
      </c>
    </row>
    <row r="33" spans="1:4">
      <c r="A33" s="61" t="s">
        <v>115</v>
      </c>
      <c r="B33" s="6" t="s">
        <v>36</v>
      </c>
      <c r="C33">
        <f>500*3</f>
        <v>1500</v>
      </c>
      <c r="D33" s="201" t="s">
        <v>392</v>
      </c>
    </row>
    <row r="34" spans="1:4">
      <c r="A34" s="61" t="s">
        <v>115</v>
      </c>
      <c r="B34" s="6" t="s">
        <v>38</v>
      </c>
      <c r="C34">
        <f>3500*3</f>
        <v>10500</v>
      </c>
      <c r="D34" s="201" t="s">
        <v>392</v>
      </c>
    </row>
    <row r="35" spans="1:4">
      <c r="A35" s="61"/>
      <c r="B35" s="114" t="s">
        <v>388</v>
      </c>
      <c r="C35" s="162">
        <f>SUM(C29:C34)</f>
        <v>48600</v>
      </c>
      <c r="D35" s="201"/>
    </row>
    <row r="36" spans="1:4">
      <c r="A36" s="61"/>
      <c r="D36" s="201"/>
    </row>
    <row r="37" spans="1:4">
      <c r="A37" s="197" t="s">
        <v>140</v>
      </c>
      <c r="B37" s="198"/>
      <c r="C37" s="199" t="s">
        <v>382</v>
      </c>
      <c r="D37" s="200">
        <v>1919</v>
      </c>
    </row>
    <row r="38" spans="1:4">
      <c r="A38" s="61" t="s">
        <v>383</v>
      </c>
      <c r="B38" t="s">
        <v>384</v>
      </c>
      <c r="C38" t="s">
        <v>68</v>
      </c>
      <c r="D38" s="201" t="s">
        <v>385</v>
      </c>
    </row>
    <row r="39" spans="1:4">
      <c r="A39" s="61" t="s">
        <v>73</v>
      </c>
      <c r="B39" s="6" t="s">
        <v>48</v>
      </c>
      <c r="C39">
        <f>4000*3</f>
        <v>12000</v>
      </c>
      <c r="D39" s="201" t="s">
        <v>392</v>
      </c>
    </row>
    <row r="40" spans="1:4">
      <c r="A40" s="61" t="s">
        <v>73</v>
      </c>
      <c r="B40" s="6" t="s">
        <v>49</v>
      </c>
      <c r="C40">
        <f>1000*3</f>
        <v>3000</v>
      </c>
      <c r="D40" s="201" t="s">
        <v>392</v>
      </c>
    </row>
    <row r="41" spans="1:4">
      <c r="A41" s="61" t="s">
        <v>73</v>
      </c>
      <c r="B41" s="27" t="s">
        <v>51</v>
      </c>
      <c r="C41">
        <f>2500*3</f>
        <v>7500</v>
      </c>
      <c r="D41" s="201" t="s">
        <v>392</v>
      </c>
    </row>
    <row r="42" spans="1:4">
      <c r="A42" s="61" t="s">
        <v>73</v>
      </c>
      <c r="B42" s="6" t="s">
        <v>53</v>
      </c>
      <c r="C42">
        <f>2500*3</f>
        <v>7500</v>
      </c>
      <c r="D42" s="201" t="s">
        <v>392</v>
      </c>
    </row>
    <row r="43" spans="1:4">
      <c r="A43" s="61" t="s">
        <v>73</v>
      </c>
      <c r="B43" s="77" t="s">
        <v>390</v>
      </c>
      <c r="C43">
        <f>1000*3</f>
        <v>3000</v>
      </c>
      <c r="D43" s="201" t="s">
        <v>392</v>
      </c>
    </row>
    <row r="44" spans="1:4">
      <c r="A44" s="61"/>
      <c r="B44" s="162" t="s">
        <v>388</v>
      </c>
      <c r="C44" s="162">
        <f>SUM(C39:C43)</f>
        <v>33000</v>
      </c>
      <c r="D44" s="201"/>
    </row>
    <row r="45" spans="1:4">
      <c r="A45" s="61"/>
      <c r="D45" s="201"/>
    </row>
    <row r="46" spans="1:4" ht="15.6">
      <c r="A46" s="202"/>
      <c r="B46" s="195" t="s">
        <v>391</v>
      </c>
      <c r="C46" s="196">
        <f>+C35+C44</f>
        <v>81600</v>
      </c>
      <c r="D46" s="203"/>
    </row>
    <row r="48" spans="1:4">
      <c r="A48" s="197" t="s">
        <v>140</v>
      </c>
      <c r="B48" s="198"/>
      <c r="C48" s="199" t="s">
        <v>382</v>
      </c>
      <c r="D48" s="200">
        <v>3915</v>
      </c>
    </row>
    <row r="49" spans="1:4">
      <c r="A49" s="61" t="s">
        <v>383</v>
      </c>
      <c r="B49" t="s">
        <v>384</v>
      </c>
      <c r="C49" t="s">
        <v>68</v>
      </c>
      <c r="D49" s="201" t="s">
        <v>385</v>
      </c>
    </row>
    <row r="50" spans="1:4">
      <c r="A50" s="61" t="s">
        <v>115</v>
      </c>
      <c r="B50" s="6" t="s">
        <v>28</v>
      </c>
      <c r="C50">
        <f>1700*3</f>
        <v>5100</v>
      </c>
      <c r="D50" s="201" t="s">
        <v>399</v>
      </c>
    </row>
    <row r="51" spans="1:4">
      <c r="A51" s="61" t="s">
        <v>115</v>
      </c>
      <c r="B51" s="6" t="s">
        <v>30</v>
      </c>
      <c r="C51">
        <f>4000*3</f>
        <v>12000</v>
      </c>
      <c r="D51" s="201" t="s">
        <v>399</v>
      </c>
    </row>
    <row r="52" spans="1:4">
      <c r="A52" s="61" t="s">
        <v>115</v>
      </c>
      <c r="B52" s="6" t="s">
        <v>32</v>
      </c>
      <c r="C52">
        <f>3000*3</f>
        <v>9000</v>
      </c>
      <c r="D52" s="201" t="s">
        <v>399</v>
      </c>
    </row>
    <row r="53" spans="1:4">
      <c r="A53" s="61" t="s">
        <v>115</v>
      </c>
      <c r="B53" s="6" t="s">
        <v>34</v>
      </c>
      <c r="C53">
        <f>3500*3</f>
        <v>10500</v>
      </c>
      <c r="D53" s="201" t="s">
        <v>399</v>
      </c>
    </row>
    <row r="54" spans="1:4">
      <c r="A54" s="61" t="s">
        <v>115</v>
      </c>
      <c r="B54" s="6" t="s">
        <v>36</v>
      </c>
      <c r="C54">
        <f>500*3</f>
        <v>1500</v>
      </c>
      <c r="D54" s="201" t="s">
        <v>399</v>
      </c>
    </row>
    <row r="55" spans="1:4">
      <c r="A55" s="61" t="s">
        <v>115</v>
      </c>
      <c r="B55" s="6" t="s">
        <v>38</v>
      </c>
      <c r="C55">
        <f>3500*3</f>
        <v>10500</v>
      </c>
      <c r="D55" s="201" t="s">
        <v>399</v>
      </c>
    </row>
    <row r="56" spans="1:4">
      <c r="A56" s="61"/>
      <c r="B56" s="114" t="s">
        <v>388</v>
      </c>
      <c r="C56" s="162">
        <f>SUM(C50:C55)</f>
        <v>48600</v>
      </c>
      <c r="D56" s="201"/>
    </row>
    <row r="57" spans="1:4">
      <c r="A57" s="61"/>
      <c r="D57" s="201"/>
    </row>
    <row r="58" spans="1:4">
      <c r="A58" s="197" t="s">
        <v>140</v>
      </c>
      <c r="B58" s="198"/>
      <c r="C58" s="199" t="s">
        <v>382</v>
      </c>
      <c r="D58" s="200">
        <v>1975</v>
      </c>
    </row>
    <row r="59" spans="1:4">
      <c r="A59" s="61" t="s">
        <v>383</v>
      </c>
      <c r="B59" t="s">
        <v>384</v>
      </c>
      <c r="C59" t="s">
        <v>68</v>
      </c>
      <c r="D59" s="201" t="s">
        <v>385</v>
      </c>
    </row>
    <row r="60" spans="1:4">
      <c r="A60" s="61" t="s">
        <v>73</v>
      </c>
      <c r="B60" s="210" t="s">
        <v>48</v>
      </c>
      <c r="C60">
        <f>4000*3</f>
        <v>12000</v>
      </c>
      <c r="D60" s="201" t="s">
        <v>399</v>
      </c>
    </row>
    <row r="61" spans="1:4" ht="27.6">
      <c r="A61" s="61" t="s">
        <v>73</v>
      </c>
      <c r="B61" s="210" t="s">
        <v>403</v>
      </c>
      <c r="C61">
        <v>1000</v>
      </c>
      <c r="D61" s="209" t="s">
        <v>404</v>
      </c>
    </row>
    <row r="62" spans="1:4">
      <c r="A62" s="61" t="s">
        <v>73</v>
      </c>
      <c r="B62" s="210" t="s">
        <v>49</v>
      </c>
      <c r="C62">
        <f>1000*3</f>
        <v>3000</v>
      </c>
      <c r="D62" s="201" t="s">
        <v>399</v>
      </c>
    </row>
    <row r="63" spans="1:4">
      <c r="A63" s="61" t="s">
        <v>73</v>
      </c>
      <c r="B63" s="210" t="s">
        <v>53</v>
      </c>
      <c r="C63">
        <f>2500*3</f>
        <v>7500</v>
      </c>
      <c r="D63" s="201" t="s">
        <v>399</v>
      </c>
    </row>
    <row r="64" spans="1:4">
      <c r="A64" s="61" t="s">
        <v>73</v>
      </c>
      <c r="B64" s="211" t="s">
        <v>390</v>
      </c>
      <c r="C64">
        <f>1000*3</f>
        <v>3000</v>
      </c>
      <c r="D64" s="201" t="s">
        <v>399</v>
      </c>
    </row>
    <row r="65" spans="1:4">
      <c r="A65" s="61" t="s">
        <v>73</v>
      </c>
      <c r="B65" s="211" t="s">
        <v>400</v>
      </c>
      <c r="C65">
        <v>12000</v>
      </c>
      <c r="D65" s="209" t="s">
        <v>401</v>
      </c>
    </row>
    <row r="66" spans="1:4">
      <c r="A66" s="61" t="s">
        <v>73</v>
      </c>
      <c r="B66" s="211" t="s">
        <v>402</v>
      </c>
      <c r="C66">
        <f>1000*3</f>
        <v>3000</v>
      </c>
      <c r="D66" s="201" t="s">
        <v>399</v>
      </c>
    </row>
    <row r="67" spans="1:4">
      <c r="A67" s="61"/>
      <c r="B67" s="162" t="s">
        <v>388</v>
      </c>
      <c r="C67" s="162">
        <f>SUM(C60:C66)</f>
        <v>41500</v>
      </c>
      <c r="D67" s="201"/>
    </row>
    <row r="68" spans="1:4">
      <c r="A68" s="61"/>
      <c r="D68" s="201"/>
    </row>
    <row r="69" spans="1:4" ht="15.6">
      <c r="A69" s="202"/>
      <c r="B69" s="195" t="s">
        <v>391</v>
      </c>
      <c r="C69" s="196">
        <f>+C56+C67</f>
        <v>90100</v>
      </c>
      <c r="D69" s="203"/>
    </row>
    <row r="71" spans="1:4">
      <c r="A71" s="197" t="s">
        <v>140</v>
      </c>
      <c r="B71" s="198"/>
      <c r="C71" s="199" t="s">
        <v>382</v>
      </c>
      <c r="D71" s="200">
        <v>4001</v>
      </c>
    </row>
    <row r="72" spans="1:4">
      <c r="A72" s="61" t="s">
        <v>383</v>
      </c>
      <c r="B72" t="s">
        <v>384</v>
      </c>
      <c r="C72" t="s">
        <v>68</v>
      </c>
      <c r="D72" s="201" t="s">
        <v>385</v>
      </c>
    </row>
    <row r="73" spans="1:4">
      <c r="A73" s="61" t="s">
        <v>115</v>
      </c>
      <c r="B73" s="6" t="s">
        <v>28</v>
      </c>
      <c r="C73">
        <f>1700*3</f>
        <v>5100</v>
      </c>
      <c r="D73" s="201" t="s">
        <v>422</v>
      </c>
    </row>
    <row r="74" spans="1:4">
      <c r="A74" s="61" t="s">
        <v>115</v>
      </c>
      <c r="B74" s="6" t="s">
        <v>30</v>
      </c>
      <c r="C74">
        <f>4500*3</f>
        <v>13500</v>
      </c>
      <c r="D74" s="201" t="s">
        <v>422</v>
      </c>
    </row>
    <row r="75" spans="1:4">
      <c r="A75" s="61" t="s">
        <v>115</v>
      </c>
      <c r="B75" s="6" t="s">
        <v>32</v>
      </c>
      <c r="C75">
        <f>3000*3</f>
        <v>9000</v>
      </c>
      <c r="D75" s="201" t="s">
        <v>422</v>
      </c>
    </row>
    <row r="76" spans="1:4">
      <c r="A76" s="61" t="s">
        <v>115</v>
      </c>
      <c r="B76" s="6" t="s">
        <v>34</v>
      </c>
      <c r="C76">
        <f>3500*3</f>
        <v>10500</v>
      </c>
      <c r="D76" s="201" t="s">
        <v>422</v>
      </c>
    </row>
    <row r="77" spans="1:4">
      <c r="A77" s="61" t="s">
        <v>115</v>
      </c>
      <c r="B77" s="6" t="s">
        <v>36</v>
      </c>
      <c r="C77">
        <f>500*3</f>
        <v>1500</v>
      </c>
      <c r="D77" s="201" t="s">
        <v>422</v>
      </c>
    </row>
    <row r="78" spans="1:4">
      <c r="A78" s="61" t="s">
        <v>115</v>
      </c>
      <c r="B78" s="6" t="s">
        <v>38</v>
      </c>
      <c r="C78">
        <f>3500*3</f>
        <v>10500</v>
      </c>
      <c r="D78" s="201" t="s">
        <v>422</v>
      </c>
    </row>
    <row r="79" spans="1:4">
      <c r="A79" s="61"/>
      <c r="B79" s="114" t="s">
        <v>388</v>
      </c>
      <c r="C79" s="162">
        <f>SUM(C73:C78)</f>
        <v>50100</v>
      </c>
      <c r="D79" s="201"/>
    </row>
    <row r="80" spans="1:4">
      <c r="A80" s="61"/>
      <c r="C80" s="62"/>
      <c r="D80" s="201"/>
    </row>
    <row r="81" spans="1:4">
      <c r="A81" s="197" t="s">
        <v>140</v>
      </c>
      <c r="B81" s="198"/>
      <c r="C81" s="199" t="s">
        <v>382</v>
      </c>
      <c r="D81" s="200">
        <v>4024</v>
      </c>
    </row>
    <row r="82" spans="1:4">
      <c r="A82" s="61" t="s">
        <v>383</v>
      </c>
      <c r="B82" t="s">
        <v>384</v>
      </c>
      <c r="C82" t="s">
        <v>68</v>
      </c>
      <c r="D82" s="201" t="s">
        <v>385</v>
      </c>
    </row>
    <row r="83" spans="1:4">
      <c r="A83" s="61" t="s">
        <v>115</v>
      </c>
      <c r="B83" s="6" t="s">
        <v>430</v>
      </c>
      <c r="C83">
        <f>4500*3</f>
        <v>13500</v>
      </c>
      <c r="D83" s="201" t="s">
        <v>422</v>
      </c>
    </row>
    <row r="84" spans="1:4">
      <c r="A84" s="61"/>
      <c r="D84" s="201"/>
    </row>
    <row r="85" spans="1:4">
      <c r="A85" s="197" t="s">
        <v>140</v>
      </c>
      <c r="B85" s="198"/>
      <c r="C85" s="199" t="s">
        <v>382</v>
      </c>
      <c r="D85" s="200">
        <v>2037</v>
      </c>
    </row>
    <row r="86" spans="1:4">
      <c r="A86" s="61" t="s">
        <v>383</v>
      </c>
      <c r="B86" t="s">
        <v>384</v>
      </c>
      <c r="C86" t="s">
        <v>68</v>
      </c>
      <c r="D86" s="201" t="s">
        <v>385</v>
      </c>
    </row>
    <row r="87" spans="1:4">
      <c r="A87" s="61" t="s">
        <v>73</v>
      </c>
      <c r="B87" s="210" t="s">
        <v>48</v>
      </c>
      <c r="C87">
        <f>4000*3</f>
        <v>12000</v>
      </c>
      <c r="D87" s="201" t="s">
        <v>422</v>
      </c>
    </row>
    <row r="88" spans="1:4">
      <c r="A88" s="61" t="s">
        <v>73</v>
      </c>
      <c r="B88" s="210" t="s">
        <v>403</v>
      </c>
      <c r="C88">
        <v>500</v>
      </c>
      <c r="D88" s="209" t="s">
        <v>423</v>
      </c>
    </row>
    <row r="89" spans="1:4">
      <c r="A89" s="61" t="s">
        <v>73</v>
      </c>
      <c r="B89" s="210" t="s">
        <v>49</v>
      </c>
      <c r="C89">
        <f>1000*3</f>
        <v>3000</v>
      </c>
      <c r="D89" s="201" t="s">
        <v>422</v>
      </c>
    </row>
    <row r="90" spans="1:4">
      <c r="A90" s="61" t="s">
        <v>73</v>
      </c>
      <c r="B90" s="210" t="s">
        <v>53</v>
      </c>
      <c r="C90">
        <f>2500*3</f>
        <v>7500</v>
      </c>
      <c r="D90" s="201" t="s">
        <v>422</v>
      </c>
    </row>
    <row r="91" spans="1:4">
      <c r="A91" s="61" t="s">
        <v>73</v>
      </c>
      <c r="B91" s="222" t="s">
        <v>390</v>
      </c>
      <c r="C91">
        <f>1000*3</f>
        <v>3000</v>
      </c>
      <c r="D91" s="201" t="s">
        <v>422</v>
      </c>
    </row>
    <row r="92" spans="1:4">
      <c r="A92" s="61" t="s">
        <v>73</v>
      </c>
      <c r="B92" s="211" t="s">
        <v>402</v>
      </c>
      <c r="C92">
        <f>1000*3</f>
        <v>3000</v>
      </c>
      <c r="D92" s="201" t="s">
        <v>422</v>
      </c>
    </row>
    <row r="93" spans="1:4">
      <c r="A93" s="61"/>
      <c r="B93" s="162" t="s">
        <v>388</v>
      </c>
      <c r="C93" s="162">
        <f>SUM(C87:C92)</f>
        <v>29000</v>
      </c>
      <c r="D93" s="201"/>
    </row>
    <row r="94" spans="1:4">
      <c r="A94" s="197" t="s">
        <v>140</v>
      </c>
      <c r="B94" s="198"/>
      <c r="C94" s="199" t="s">
        <v>382</v>
      </c>
      <c r="D94" s="200" t="s">
        <v>435</v>
      </c>
    </row>
    <row r="95" spans="1:4">
      <c r="A95" s="61" t="s">
        <v>73</v>
      </c>
      <c r="B95" s="211" t="s">
        <v>433</v>
      </c>
      <c r="C95">
        <f>3500*3</f>
        <v>10500</v>
      </c>
      <c r="D95" s="201" t="s">
        <v>422</v>
      </c>
    </row>
    <row r="96" spans="1:4" ht="15.6">
      <c r="A96" s="202"/>
      <c r="B96" s="195" t="s">
        <v>391</v>
      </c>
      <c r="C96" s="196">
        <f>+C79+C93+C83</f>
        <v>92600</v>
      </c>
      <c r="D96" s="203"/>
    </row>
    <row r="98" spans="1:4">
      <c r="A98" s="197" t="s">
        <v>140</v>
      </c>
      <c r="B98" s="198"/>
      <c r="C98" s="199" t="s">
        <v>382</v>
      </c>
      <c r="D98" s="200">
        <v>4057</v>
      </c>
    </row>
    <row r="99" spans="1:4">
      <c r="A99" s="61" t="s">
        <v>383</v>
      </c>
      <c r="B99" t="s">
        <v>384</v>
      </c>
      <c r="C99" t="s">
        <v>68</v>
      </c>
      <c r="D99" s="201" t="s">
        <v>385</v>
      </c>
    </row>
    <row r="100" spans="1:4">
      <c r="A100" s="61" t="s">
        <v>115</v>
      </c>
      <c r="B100" s="6" t="s">
        <v>28</v>
      </c>
      <c r="C100">
        <f>1700*3</f>
        <v>5100</v>
      </c>
      <c r="D100" s="201" t="s">
        <v>442</v>
      </c>
    </row>
    <row r="101" spans="1:4">
      <c r="A101" s="61" t="s">
        <v>115</v>
      </c>
      <c r="B101" s="6" t="s">
        <v>30</v>
      </c>
      <c r="C101">
        <f>4500*3</f>
        <v>13500</v>
      </c>
      <c r="D101" s="201" t="s">
        <v>442</v>
      </c>
    </row>
    <row r="102" spans="1:4">
      <c r="A102" s="61" t="s">
        <v>115</v>
      </c>
      <c r="B102" s="6" t="s">
        <v>32</v>
      </c>
      <c r="C102">
        <f>3000*3</f>
        <v>9000</v>
      </c>
      <c r="D102" s="201" t="s">
        <v>442</v>
      </c>
    </row>
    <row r="103" spans="1:4">
      <c r="A103" s="61" t="s">
        <v>115</v>
      </c>
      <c r="B103" s="6" t="s">
        <v>36</v>
      </c>
      <c r="C103">
        <f>500*3</f>
        <v>1500</v>
      </c>
      <c r="D103" s="201" t="s">
        <v>442</v>
      </c>
    </row>
    <row r="104" spans="1:4">
      <c r="A104" s="61" t="s">
        <v>115</v>
      </c>
      <c r="B104" s="6" t="s">
        <v>38</v>
      </c>
      <c r="C104">
        <f>3500*3</f>
        <v>10500</v>
      </c>
      <c r="D104" s="201" t="s">
        <v>442</v>
      </c>
    </row>
    <row r="105" spans="1:4">
      <c r="A105" s="61" t="s">
        <v>115</v>
      </c>
      <c r="B105" s="6" t="s">
        <v>430</v>
      </c>
      <c r="C105">
        <f>4500*3</f>
        <v>13500</v>
      </c>
      <c r="D105" s="201" t="s">
        <v>442</v>
      </c>
    </row>
    <row r="106" spans="1:4">
      <c r="A106" s="61" t="s">
        <v>115</v>
      </c>
      <c r="B106" s="6" t="s">
        <v>443</v>
      </c>
      <c r="C106">
        <v>500</v>
      </c>
      <c r="D106" s="201"/>
    </row>
    <row r="107" spans="1:4">
      <c r="A107" s="61"/>
      <c r="B107" s="114" t="s">
        <v>388</v>
      </c>
      <c r="C107" s="162">
        <f>SUM(C100:C106)</f>
        <v>53600</v>
      </c>
      <c r="D107" s="201"/>
    </row>
    <row r="108" spans="1:4">
      <c r="A108" s="197" t="s">
        <v>140</v>
      </c>
      <c r="B108" s="198"/>
      <c r="C108" s="199" t="s">
        <v>382</v>
      </c>
      <c r="D108" s="200">
        <v>2075</v>
      </c>
    </row>
    <row r="109" spans="1:4">
      <c r="A109" s="61" t="s">
        <v>383</v>
      </c>
      <c r="B109" t="s">
        <v>384</v>
      </c>
      <c r="C109" t="s">
        <v>68</v>
      </c>
      <c r="D109" s="201" t="s">
        <v>385</v>
      </c>
    </row>
    <row r="110" spans="1:4">
      <c r="A110" s="61" t="s">
        <v>73</v>
      </c>
      <c r="B110" s="210" t="s">
        <v>48</v>
      </c>
      <c r="C110">
        <f>4000*3</f>
        <v>12000</v>
      </c>
      <c r="D110" s="201" t="s">
        <v>442</v>
      </c>
    </row>
    <row r="111" spans="1:4">
      <c r="A111" s="61" t="s">
        <v>73</v>
      </c>
      <c r="B111" s="210" t="s">
        <v>49</v>
      </c>
      <c r="C111">
        <f>1000*3</f>
        <v>3000</v>
      </c>
      <c r="D111" s="201" t="s">
        <v>442</v>
      </c>
    </row>
    <row r="112" spans="1:4">
      <c r="A112" s="61" t="s">
        <v>73</v>
      </c>
      <c r="B112" s="210" t="s">
        <v>53</v>
      </c>
      <c r="C112">
        <f>2500*3</f>
        <v>7500</v>
      </c>
      <c r="D112" s="201" t="s">
        <v>442</v>
      </c>
    </row>
    <row r="113" spans="1:4">
      <c r="A113" s="61" t="s">
        <v>73</v>
      </c>
      <c r="B113" s="222" t="s">
        <v>390</v>
      </c>
      <c r="C113">
        <f>1000*3</f>
        <v>3000</v>
      </c>
      <c r="D113" s="201" t="s">
        <v>442</v>
      </c>
    </row>
    <row r="114" spans="1:4">
      <c r="A114" s="61" t="s">
        <v>73</v>
      </c>
      <c r="B114" s="211" t="s">
        <v>402</v>
      </c>
      <c r="C114">
        <f>1000*3</f>
        <v>3000</v>
      </c>
      <c r="D114" s="201" t="s">
        <v>442</v>
      </c>
    </row>
    <row r="115" spans="1:4">
      <c r="A115" s="61" t="s">
        <v>73</v>
      </c>
      <c r="B115" s="211" t="s">
        <v>433</v>
      </c>
      <c r="C115">
        <f>3500*3</f>
        <v>10500</v>
      </c>
      <c r="D115" s="201" t="s">
        <v>442</v>
      </c>
    </row>
    <row r="116" spans="1:4">
      <c r="A116" s="61"/>
      <c r="B116" s="162" t="s">
        <v>388</v>
      </c>
      <c r="C116" s="162">
        <f>SUM(C110:C115)</f>
        <v>39000</v>
      </c>
      <c r="D116" s="201"/>
    </row>
    <row r="117" spans="1:4" ht="15.6">
      <c r="A117" s="202"/>
      <c r="B117" s="195" t="s">
        <v>391</v>
      </c>
      <c r="C117" s="196">
        <f>+C107+C116</f>
        <v>92600</v>
      </c>
      <c r="D117" s="203"/>
    </row>
    <row r="119" spans="1:4">
      <c r="A119" s="197" t="s">
        <v>140</v>
      </c>
      <c r="B119" s="198"/>
      <c r="C119" s="199" t="s">
        <v>382</v>
      </c>
      <c r="D119" s="200">
        <v>4138</v>
      </c>
    </row>
    <row r="120" spans="1:4">
      <c r="A120" s="61" t="s">
        <v>383</v>
      </c>
      <c r="B120" t="s">
        <v>384</v>
      </c>
      <c r="C120" t="s">
        <v>68</v>
      </c>
      <c r="D120" s="201" t="s">
        <v>385</v>
      </c>
    </row>
    <row r="121" spans="1:4">
      <c r="A121" s="61" t="s">
        <v>115</v>
      </c>
      <c r="B121" s="6" t="s">
        <v>28</v>
      </c>
      <c r="C121">
        <f>1700*3</f>
        <v>5100</v>
      </c>
      <c r="D121" t="s">
        <v>450</v>
      </c>
    </row>
    <row r="122" spans="1:4">
      <c r="A122" s="61" t="s">
        <v>115</v>
      </c>
      <c r="B122" s="6" t="s">
        <v>451</v>
      </c>
      <c r="C122">
        <f>4500*3</f>
        <v>13500</v>
      </c>
      <c r="D122" t="s">
        <v>450</v>
      </c>
    </row>
    <row r="123" spans="1:4">
      <c r="A123" s="61" t="s">
        <v>115</v>
      </c>
      <c r="B123" s="6" t="s">
        <v>452</v>
      </c>
      <c r="C123">
        <f>3500*3</f>
        <v>10500</v>
      </c>
      <c r="D123" t="s">
        <v>450</v>
      </c>
    </row>
    <row r="124" spans="1:4">
      <c r="A124" s="61" t="s">
        <v>115</v>
      </c>
      <c r="B124" s="6" t="s">
        <v>453</v>
      </c>
      <c r="C124">
        <f>4500*3</f>
        <v>13500</v>
      </c>
      <c r="D124" t="s">
        <v>450</v>
      </c>
    </row>
    <row r="125" spans="1:4">
      <c r="A125" s="61" t="s">
        <v>115</v>
      </c>
      <c r="B125" s="210" t="s">
        <v>454</v>
      </c>
      <c r="C125">
        <f>3500*3</f>
        <v>10500</v>
      </c>
      <c r="D125" t="s">
        <v>450</v>
      </c>
    </row>
    <row r="126" spans="1:4">
      <c r="A126" s="61" t="s">
        <v>115</v>
      </c>
      <c r="B126" s="210" t="s">
        <v>455</v>
      </c>
      <c r="C126">
        <f>3500*3</f>
        <v>10500</v>
      </c>
      <c r="D126" t="s">
        <v>450</v>
      </c>
    </row>
    <row r="127" spans="1:4">
      <c r="A127" s="61" t="s">
        <v>115</v>
      </c>
      <c r="B127" s="6" t="s">
        <v>38</v>
      </c>
      <c r="C127">
        <f>3500*3</f>
        <v>10500</v>
      </c>
      <c r="D127" t="s">
        <v>450</v>
      </c>
    </row>
    <row r="128" spans="1:4">
      <c r="A128" s="61"/>
      <c r="B128" s="114" t="s">
        <v>388</v>
      </c>
      <c r="C128" s="162">
        <f>SUM(C121:C127)</f>
        <v>74100</v>
      </c>
      <c r="D128" s="201"/>
    </row>
    <row r="129" spans="1:4">
      <c r="A129" s="197" t="s">
        <v>140</v>
      </c>
      <c r="B129" s="198"/>
      <c r="C129" s="199" t="s">
        <v>382</v>
      </c>
      <c r="D129" s="200">
        <v>2165</v>
      </c>
    </row>
    <row r="130" spans="1:4">
      <c r="A130" s="61" t="s">
        <v>383</v>
      </c>
      <c r="B130" t="s">
        <v>384</v>
      </c>
      <c r="C130" t="s">
        <v>68</v>
      </c>
      <c r="D130" s="201" t="s">
        <v>385</v>
      </c>
    </row>
    <row r="131" spans="1:4">
      <c r="A131" s="61" t="s">
        <v>73</v>
      </c>
      <c r="B131" s="210" t="s">
        <v>48</v>
      </c>
      <c r="C131">
        <f>4000*3</f>
        <v>12000</v>
      </c>
      <c r="D131" t="s">
        <v>450</v>
      </c>
    </row>
    <row r="132" spans="1:4">
      <c r="A132" s="61" t="s">
        <v>73</v>
      </c>
      <c r="B132" s="210" t="s">
        <v>49</v>
      </c>
      <c r="C132">
        <f>1000*3</f>
        <v>3000</v>
      </c>
      <c r="D132" t="s">
        <v>450</v>
      </c>
    </row>
    <row r="133" spans="1:4">
      <c r="A133" s="61" t="s">
        <v>73</v>
      </c>
      <c r="B133" s="210" t="s">
        <v>53</v>
      </c>
      <c r="C133">
        <f>2500*3</f>
        <v>7500</v>
      </c>
      <c r="D133" t="s">
        <v>450</v>
      </c>
    </row>
    <row r="134" spans="1:4">
      <c r="A134" s="61" t="s">
        <v>73</v>
      </c>
      <c r="B134" s="222" t="s">
        <v>390</v>
      </c>
      <c r="C134">
        <f>1000*3</f>
        <v>3000</v>
      </c>
      <c r="D134" t="s">
        <v>450</v>
      </c>
    </row>
    <row r="135" spans="1:4">
      <c r="A135" s="61" t="s">
        <v>73</v>
      </c>
      <c r="B135" s="211" t="s">
        <v>456</v>
      </c>
      <c r="C135">
        <f>2500*3</f>
        <v>7500</v>
      </c>
      <c r="D135" t="s">
        <v>450</v>
      </c>
    </row>
    <row r="136" spans="1:4">
      <c r="A136" s="61" t="s">
        <v>73</v>
      </c>
      <c r="B136" s="211" t="s">
        <v>433</v>
      </c>
      <c r="C136">
        <f>3500*3</f>
        <v>10500</v>
      </c>
      <c r="D136" t="s">
        <v>450</v>
      </c>
    </row>
    <row r="137" spans="1:4">
      <c r="A137" s="61"/>
      <c r="B137" s="162" t="s">
        <v>388</v>
      </c>
      <c r="C137" s="162">
        <f>SUM(C131:C136)</f>
        <v>43500</v>
      </c>
      <c r="D137" s="201"/>
    </row>
    <row r="138" spans="1:4" ht="15.6">
      <c r="A138" s="202"/>
      <c r="B138" s="195" t="s">
        <v>391</v>
      </c>
      <c r="C138" s="196">
        <f>+C128+C137</f>
        <v>117600</v>
      </c>
      <c r="D138" s="203"/>
    </row>
    <row r="140" spans="1:4">
      <c r="A140" s="197" t="s">
        <v>140</v>
      </c>
      <c r="B140" s="198"/>
      <c r="C140" s="199" t="s">
        <v>382</v>
      </c>
      <c r="D140" s="200">
        <v>4212</v>
      </c>
    </row>
    <row r="141" spans="1:4">
      <c r="A141" s="61" t="s">
        <v>383</v>
      </c>
      <c r="B141" t="s">
        <v>384</v>
      </c>
      <c r="C141" t="s">
        <v>68</v>
      </c>
      <c r="D141" s="201" t="s">
        <v>385</v>
      </c>
    </row>
    <row r="142" spans="1:4">
      <c r="A142" s="61" t="s">
        <v>115</v>
      </c>
      <c r="B142" s="6" t="s">
        <v>451</v>
      </c>
      <c r="C142">
        <f>4500*3</f>
        <v>13500</v>
      </c>
      <c r="D142" t="s">
        <v>469</v>
      </c>
    </row>
    <row r="143" spans="1:4">
      <c r="A143" s="61" t="s">
        <v>115</v>
      </c>
      <c r="B143" s="6" t="s">
        <v>451</v>
      </c>
      <c r="C143">
        <v>600</v>
      </c>
      <c r="D143" t="s">
        <v>308</v>
      </c>
    </row>
    <row r="144" spans="1:4">
      <c r="A144" s="61" t="s">
        <v>115</v>
      </c>
      <c r="B144" s="6" t="s">
        <v>452</v>
      </c>
      <c r="C144">
        <f>3500*3</f>
        <v>10500</v>
      </c>
      <c r="D144" t="s">
        <v>469</v>
      </c>
    </row>
    <row r="145" spans="1:4">
      <c r="A145" s="61" t="s">
        <v>115</v>
      </c>
      <c r="B145" s="6" t="s">
        <v>453</v>
      </c>
      <c r="C145">
        <f>4500*3</f>
        <v>13500</v>
      </c>
      <c r="D145" t="s">
        <v>469</v>
      </c>
    </row>
    <row r="146" spans="1:4">
      <c r="A146" s="61" t="s">
        <v>115</v>
      </c>
      <c r="B146" s="210" t="s">
        <v>454</v>
      </c>
      <c r="C146">
        <f>3500*3</f>
        <v>10500</v>
      </c>
      <c r="D146" t="s">
        <v>469</v>
      </c>
    </row>
    <row r="147" spans="1:4">
      <c r="A147" s="61" t="s">
        <v>115</v>
      </c>
      <c r="B147" s="210" t="s">
        <v>455</v>
      </c>
      <c r="C147">
        <f>3500*3</f>
        <v>10500</v>
      </c>
      <c r="D147" t="s">
        <v>469</v>
      </c>
    </row>
    <row r="148" spans="1:4">
      <c r="A148" s="61" t="s">
        <v>115</v>
      </c>
      <c r="B148" s="6" t="s">
        <v>38</v>
      </c>
      <c r="C148">
        <f>3500*3</f>
        <v>10500</v>
      </c>
      <c r="D148" t="s">
        <v>469</v>
      </c>
    </row>
    <row r="149" spans="1:4">
      <c r="A149" s="61"/>
      <c r="B149" s="114" t="s">
        <v>388</v>
      </c>
      <c r="C149" s="162">
        <f>SUM(C142:C148)</f>
        <v>69600</v>
      </c>
      <c r="D149" s="201"/>
    </row>
    <row r="150" spans="1:4">
      <c r="A150" s="197" t="s">
        <v>140</v>
      </c>
      <c r="B150" s="198"/>
      <c r="C150" s="199" t="s">
        <v>382</v>
      </c>
      <c r="D150" s="200">
        <v>2218</v>
      </c>
    </row>
    <row r="151" spans="1:4">
      <c r="A151" s="61" t="s">
        <v>383</v>
      </c>
      <c r="B151" t="s">
        <v>384</v>
      </c>
      <c r="C151" t="s">
        <v>68</v>
      </c>
      <c r="D151" s="201" t="s">
        <v>385</v>
      </c>
    </row>
    <row r="152" spans="1:4">
      <c r="A152" s="61" t="s">
        <v>73</v>
      </c>
      <c r="B152" s="210" t="s">
        <v>48</v>
      </c>
      <c r="C152">
        <f>4000*3</f>
        <v>12000</v>
      </c>
      <c r="D152" t="s">
        <v>469</v>
      </c>
    </row>
    <row r="153" spans="1:4">
      <c r="A153" s="61" t="s">
        <v>73</v>
      </c>
      <c r="B153" s="210" t="s">
        <v>49</v>
      </c>
      <c r="C153">
        <f>1000*3</f>
        <v>3000</v>
      </c>
      <c r="D153" t="s">
        <v>469</v>
      </c>
    </row>
    <row r="154" spans="1:4">
      <c r="A154" s="61" t="s">
        <v>73</v>
      </c>
      <c r="B154" s="210" t="s">
        <v>53</v>
      </c>
      <c r="C154">
        <f>2500*3</f>
        <v>7500</v>
      </c>
      <c r="D154" t="s">
        <v>469</v>
      </c>
    </row>
    <row r="155" spans="1:4">
      <c r="A155" s="61" t="s">
        <v>73</v>
      </c>
      <c r="B155" s="222" t="s">
        <v>390</v>
      </c>
      <c r="C155">
        <f>1000*3</f>
        <v>3000</v>
      </c>
      <c r="D155" t="s">
        <v>469</v>
      </c>
    </row>
    <row r="156" spans="1:4">
      <c r="A156" s="61" t="s">
        <v>73</v>
      </c>
      <c r="B156" s="211" t="s">
        <v>456</v>
      </c>
      <c r="C156">
        <f>2500*3</f>
        <v>7500</v>
      </c>
      <c r="D156" t="s">
        <v>469</v>
      </c>
    </row>
    <row r="157" spans="1:4">
      <c r="A157" s="61" t="s">
        <v>73</v>
      </c>
      <c r="B157" s="211" t="s">
        <v>433</v>
      </c>
      <c r="C157">
        <f>3500*3</f>
        <v>10500</v>
      </c>
      <c r="D157" t="s">
        <v>469</v>
      </c>
    </row>
    <row r="158" spans="1:4">
      <c r="A158" s="61"/>
      <c r="B158" s="162" t="s">
        <v>388</v>
      </c>
      <c r="C158" s="162">
        <f>SUM(C152:C157)</f>
        <v>43500</v>
      </c>
      <c r="D158" s="201"/>
    </row>
    <row r="159" spans="1:4" ht="15.6">
      <c r="A159" s="202"/>
      <c r="B159" s="195" t="s">
        <v>391</v>
      </c>
      <c r="C159" s="196">
        <f>+C149+C158</f>
        <v>113100</v>
      </c>
      <c r="D159" s="203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Roman,Regular"&amp;12&amp;A</oddHeader>
    <oddFooter>&amp;C&amp;"Times New Roman,Regular"&amp;12Page &amp;P</oddFooter>
  </headerFooter>
  <ignoredErrors>
    <ignoredError sqref="C12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20"/>
  <sheetViews>
    <sheetView zoomScaleNormal="100" workbookViewId="0">
      <selection activeCell="A19" sqref="A19"/>
    </sheetView>
  </sheetViews>
  <sheetFormatPr defaultColWidth="10.19921875" defaultRowHeight="13.8"/>
  <cols>
    <col min="1" max="1" width="48.3984375" bestFit="1" customWidth="1"/>
    <col min="2" max="2" width="13.3984375" bestFit="1" customWidth="1"/>
    <col min="3" max="3" width="14.796875" customWidth="1"/>
  </cols>
  <sheetData>
    <row r="1" spans="1:5" ht="57" customHeight="1">
      <c r="A1" s="213" t="s">
        <v>405</v>
      </c>
      <c r="B1" s="213" t="s">
        <v>406</v>
      </c>
      <c r="C1" s="215" t="s">
        <v>407</v>
      </c>
    </row>
    <row r="2" spans="1:5" s="27" customFormat="1" ht="21" customHeight="1">
      <c r="A2" s="214" t="s">
        <v>131</v>
      </c>
      <c r="B2" s="214">
        <v>1100</v>
      </c>
      <c r="C2" s="214">
        <v>1500</v>
      </c>
    </row>
    <row r="3" spans="1:5" s="27" customFormat="1" ht="21" customHeight="1">
      <c r="A3" s="214" t="s">
        <v>141</v>
      </c>
      <c r="B3" s="214">
        <v>2000</v>
      </c>
      <c r="C3" s="214">
        <v>2100</v>
      </c>
    </row>
    <row r="4" spans="1:5" s="27" customFormat="1" ht="24" customHeight="1">
      <c r="A4" s="214" t="s">
        <v>128</v>
      </c>
      <c r="B4" s="214">
        <v>11200</v>
      </c>
      <c r="C4" s="214">
        <v>12000</v>
      </c>
    </row>
    <row r="8" spans="1:5">
      <c r="A8" s="137" t="s">
        <v>152</v>
      </c>
      <c r="B8" s="87">
        <v>3600</v>
      </c>
      <c r="C8" s="87"/>
      <c r="E8" s="204"/>
    </row>
    <row r="9" spans="1:5">
      <c r="A9" s="87" t="s">
        <v>87</v>
      </c>
      <c r="B9" s="87">
        <v>1100</v>
      </c>
      <c r="C9" s="87"/>
      <c r="E9" s="204"/>
    </row>
    <row r="10" spans="1:5">
      <c r="A10" s="87" t="s">
        <v>378</v>
      </c>
      <c r="B10" s="87">
        <v>2500</v>
      </c>
      <c r="C10" s="87"/>
      <c r="E10" s="204"/>
    </row>
    <row r="11" spans="1:5">
      <c r="A11" s="87" t="s">
        <v>207</v>
      </c>
      <c r="B11" s="87">
        <v>9000</v>
      </c>
      <c r="C11" s="87"/>
      <c r="E11" s="204"/>
    </row>
    <row r="12" spans="1:5">
      <c r="A12" s="87" t="s">
        <v>149</v>
      </c>
      <c r="B12" s="87">
        <v>1500</v>
      </c>
      <c r="C12" s="87"/>
      <c r="E12" s="204"/>
    </row>
    <row r="13" spans="1:5">
      <c r="A13" s="87" t="s">
        <v>80</v>
      </c>
      <c r="B13" s="87">
        <v>1600</v>
      </c>
      <c r="C13" s="87"/>
      <c r="E13" s="204"/>
    </row>
    <row r="14" spans="1:5">
      <c r="A14" s="87" t="s">
        <v>340</v>
      </c>
      <c r="B14" s="87">
        <v>1500</v>
      </c>
      <c r="C14" s="87"/>
      <c r="E14" s="204"/>
    </row>
    <row r="15" spans="1:5">
      <c r="A15" s="87" t="s">
        <v>79</v>
      </c>
      <c r="B15" s="87">
        <v>1600</v>
      </c>
      <c r="C15" s="87"/>
      <c r="E15" s="204"/>
    </row>
    <row r="16" spans="1:5">
      <c r="A16" s="87" t="s">
        <v>237</v>
      </c>
      <c r="B16" s="87">
        <v>8500</v>
      </c>
      <c r="C16" s="87"/>
      <c r="E16" s="204"/>
    </row>
    <row r="17" spans="1:5">
      <c r="A17" s="87" t="s">
        <v>146</v>
      </c>
      <c r="B17" s="87">
        <v>2000</v>
      </c>
      <c r="C17" s="87"/>
      <c r="E17" s="204"/>
    </row>
    <row r="18" spans="1:5">
      <c r="A18" s="87" t="s">
        <v>344</v>
      </c>
      <c r="B18" s="87">
        <v>3500</v>
      </c>
      <c r="C18" s="87"/>
      <c r="E18" s="204"/>
    </row>
    <row r="19" spans="1:5">
      <c r="A19" s="87" t="s">
        <v>289</v>
      </c>
      <c r="B19" s="87">
        <v>2300</v>
      </c>
      <c r="C19" s="87"/>
      <c r="E19" s="204"/>
    </row>
    <row r="20" spans="1:5">
      <c r="A20" s="87" t="s">
        <v>356</v>
      </c>
      <c r="B20" s="87">
        <v>6000</v>
      </c>
      <c r="C20" s="87"/>
      <c r="E20" s="204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1864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HKV</vt:lpstr>
      <vt:lpstr>YJV</vt:lpstr>
      <vt:lpstr>JRV (2)</vt:lpstr>
      <vt:lpstr>JRV</vt:lpstr>
      <vt:lpstr>Bills List</vt:lpstr>
      <vt:lpstr>Pivot Table_Bills List_1</vt:lpstr>
      <vt:lpstr>Grrowwide</vt:lpstr>
      <vt:lpstr>CASBY</vt:lpstr>
      <vt:lpstr>JRV!Print_Area</vt:lpstr>
      <vt:lpstr>'JRV (2)'!Print_Area</vt:lpstr>
      <vt:lpstr>YJV!Print_Area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Invoice Template</dc:title>
  <dc:subject/>
  <dc:creator>www.vertex42.com</dc:creator>
  <dc:description>(c) 2014 Vertex42 LLC. All Rights Reserved.</dc:description>
  <cp:lastModifiedBy>Meet Vaidya</cp:lastModifiedBy>
  <cp:revision>152</cp:revision>
  <cp:lastPrinted>2024-06-03T04:05:50Z</cp:lastPrinted>
  <dcterms:created xsi:type="dcterms:W3CDTF">2004-08-16T18:44:14Z</dcterms:created>
  <dcterms:modified xsi:type="dcterms:W3CDTF">2024-06-03T04:05:50Z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